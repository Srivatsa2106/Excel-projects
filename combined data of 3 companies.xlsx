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ertificates\excel\"/>
    </mc:Choice>
  </mc:AlternateContent>
  <xr:revisionPtr revIDLastSave="0" documentId="8_{5DB011B0-8F65-4A96-BDBD-FA8DFD0051D8}" xr6:coauthVersionLast="47" xr6:coauthVersionMax="47" xr10:uidLastSave="{00000000-0000-0000-0000-000000000000}"/>
  <bookViews>
    <workbookView xWindow="-108" yWindow="-108" windowWidth="23256" windowHeight="13176" firstSheet="12" activeTab="17" xr2:uid="{6B185F83-2E5A-456B-A08A-E358B0881607}"/>
  </bookViews>
  <sheets>
    <sheet name="Profit &amp; Loss" sheetId="2" r:id="rId1"/>
    <sheet name="Quarters" sheetId="3" r:id="rId2"/>
    <sheet name="Balance Sheet" sheetId="4" r:id="rId3"/>
    <sheet name="Customization" sheetId="6" r:id="rId4"/>
    <sheet name="Data Sheet" sheetId="7" r:id="rId5"/>
    <sheet name="Cash Flow" sheetId="5" r:id="rId6"/>
    <sheet name="Profit &amp; Loss (2)" sheetId="8" r:id="rId7"/>
    <sheet name="Quarters (2)" sheetId="9" r:id="rId8"/>
    <sheet name="Balance Sheet (2)" sheetId="10" r:id="rId9"/>
    <sheet name="Cash Flow (2)" sheetId="11" r:id="rId10"/>
    <sheet name="Customization (2)" sheetId="12" r:id="rId11"/>
    <sheet name="Data Sheet (2)" sheetId="13" r:id="rId12"/>
    <sheet name="Profit &amp; Loss (3)" sheetId="14" r:id="rId13"/>
    <sheet name="Quarters (3)" sheetId="15" r:id="rId14"/>
    <sheet name="Balance Sheet (3)" sheetId="16" r:id="rId15"/>
    <sheet name="Cash Flow (3)" sheetId="17" r:id="rId16"/>
    <sheet name="Customization (3)" sheetId="18" r:id="rId17"/>
    <sheet name="Data Sheet (3)" sheetId="19" r:id="rId18"/>
    <sheet name="Sheet1" sheetId="1" r:id="rId19"/>
  </sheets>
  <definedNames>
    <definedName name="UPDATE" localSheetId="8">'Data Sheet (2)'!$E$1</definedName>
    <definedName name="UPDATE" localSheetId="14">'Data Sheet (3)'!$E$1</definedName>
    <definedName name="UPDATE" localSheetId="9">'Data Sheet (2)'!$E$1</definedName>
    <definedName name="UPDATE" localSheetId="15">'Data Sheet (3)'!$E$1</definedName>
    <definedName name="UPDATE" localSheetId="10">'Data Sheet (2)'!$E$1</definedName>
    <definedName name="UPDATE" localSheetId="16">'Data Sheet (3)'!$E$1</definedName>
    <definedName name="UPDATE" localSheetId="11">'Data Sheet (2)'!$E$1</definedName>
    <definedName name="UPDATE" localSheetId="17">'Data Sheet (3)'!$E$1</definedName>
    <definedName name="UPDATE" localSheetId="6">'Data Sheet (2)'!$E$1</definedName>
    <definedName name="UPDATE" localSheetId="12">'Data Sheet (3)'!$E$1</definedName>
    <definedName name="UPDATE" localSheetId="7">'Data Sheet (2)'!$E$1</definedName>
    <definedName name="UPDATE" localSheetId="13">'Data Sheet (3)'!$E$1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9" l="1"/>
  <c r="B6" i="19"/>
  <c r="E1" i="17"/>
  <c r="B3" i="17"/>
  <c r="C3" i="17"/>
  <c r="D3" i="17"/>
  <c r="E3" i="17"/>
  <c r="F3" i="17"/>
  <c r="G3" i="17"/>
  <c r="H3" i="17"/>
  <c r="I3" i="17"/>
  <c r="J3" i="17"/>
  <c r="K3" i="17"/>
  <c r="B4" i="17"/>
  <c r="C4" i="17"/>
  <c r="D4" i="17"/>
  <c r="E4" i="17"/>
  <c r="F4" i="17"/>
  <c r="G4" i="17"/>
  <c r="H4" i="17"/>
  <c r="I4" i="17"/>
  <c r="J4" i="17"/>
  <c r="K4" i="17"/>
  <c r="B5" i="17"/>
  <c r="C5" i="17"/>
  <c r="D5" i="17"/>
  <c r="E5" i="17"/>
  <c r="F5" i="17"/>
  <c r="G5" i="17"/>
  <c r="H5" i="17"/>
  <c r="I5" i="17"/>
  <c r="J5" i="17"/>
  <c r="K5" i="17"/>
  <c r="B6" i="17"/>
  <c r="C6" i="17"/>
  <c r="D6" i="17"/>
  <c r="E6" i="17"/>
  <c r="F6" i="17"/>
  <c r="G6" i="17"/>
  <c r="H6" i="17"/>
  <c r="I6" i="17"/>
  <c r="J6" i="17"/>
  <c r="K6" i="17"/>
  <c r="B7" i="17"/>
  <c r="C7" i="17"/>
  <c r="D7" i="17"/>
  <c r="E7" i="17"/>
  <c r="F7" i="17"/>
  <c r="G7" i="17"/>
  <c r="H7" i="17"/>
  <c r="I7" i="17"/>
  <c r="J7" i="17"/>
  <c r="K7" i="17"/>
  <c r="E1" i="16"/>
  <c r="B3" i="16"/>
  <c r="C3" i="16"/>
  <c r="D3" i="16"/>
  <c r="E3" i="16"/>
  <c r="F3" i="16"/>
  <c r="G3" i="16"/>
  <c r="H3" i="16"/>
  <c r="I3" i="16"/>
  <c r="J3" i="16"/>
  <c r="K3" i="16"/>
  <c r="B4" i="16"/>
  <c r="C4" i="16"/>
  <c r="D4" i="16"/>
  <c r="E4" i="16"/>
  <c r="F4" i="16"/>
  <c r="G4" i="16"/>
  <c r="H4" i="16"/>
  <c r="I4" i="16"/>
  <c r="J4" i="16"/>
  <c r="K4" i="16"/>
  <c r="B5" i="16"/>
  <c r="C5" i="16"/>
  <c r="D5" i="16"/>
  <c r="E5" i="16"/>
  <c r="F24" i="16" s="1"/>
  <c r="F5" i="16"/>
  <c r="G5" i="16"/>
  <c r="H5" i="16"/>
  <c r="I5" i="16"/>
  <c r="J5" i="16"/>
  <c r="K5" i="16"/>
  <c r="B6" i="16"/>
  <c r="C6" i="16"/>
  <c r="D6" i="16"/>
  <c r="E6" i="16"/>
  <c r="F6" i="16"/>
  <c r="G6" i="16"/>
  <c r="H6" i="16"/>
  <c r="I6" i="16"/>
  <c r="J6" i="16"/>
  <c r="K6" i="16"/>
  <c r="B7" i="16"/>
  <c r="C7" i="16"/>
  <c r="D7" i="16"/>
  <c r="E7" i="16"/>
  <c r="F7" i="16"/>
  <c r="G7" i="16"/>
  <c r="H7" i="16"/>
  <c r="I7" i="16"/>
  <c r="J7" i="16"/>
  <c r="K7" i="16"/>
  <c r="B8" i="16"/>
  <c r="C8" i="16"/>
  <c r="D8" i="16"/>
  <c r="E8" i="16"/>
  <c r="F8" i="16"/>
  <c r="G8" i="16"/>
  <c r="H8" i="16"/>
  <c r="I8" i="16"/>
  <c r="J8" i="16"/>
  <c r="K8" i="16"/>
  <c r="B10" i="16"/>
  <c r="C10" i="16"/>
  <c r="D10" i="16"/>
  <c r="E10" i="16"/>
  <c r="F10" i="16"/>
  <c r="G10" i="16"/>
  <c r="H10" i="16"/>
  <c r="I10" i="16"/>
  <c r="J10" i="16"/>
  <c r="K10" i="16"/>
  <c r="B11" i="16"/>
  <c r="C11" i="16"/>
  <c r="D11" i="16"/>
  <c r="E11" i="16"/>
  <c r="F11" i="16"/>
  <c r="G11" i="16"/>
  <c r="H11" i="16"/>
  <c r="I11" i="16"/>
  <c r="J11" i="16"/>
  <c r="K11" i="16"/>
  <c r="B12" i="16"/>
  <c r="C12" i="16"/>
  <c r="D12" i="16"/>
  <c r="E12" i="16"/>
  <c r="F12" i="16"/>
  <c r="G12" i="16"/>
  <c r="H12" i="16"/>
  <c r="I12" i="16"/>
  <c r="J12" i="16"/>
  <c r="K12" i="16"/>
  <c r="B13" i="16"/>
  <c r="B16" i="16" s="1"/>
  <c r="C13" i="16"/>
  <c r="C16" i="16" s="1"/>
  <c r="D13" i="16"/>
  <c r="D16" i="16" s="1"/>
  <c r="E13" i="16"/>
  <c r="F13" i="16"/>
  <c r="G13" i="16"/>
  <c r="G16" i="16" s="1"/>
  <c r="H13" i="16"/>
  <c r="H16" i="16" s="1"/>
  <c r="I13" i="16"/>
  <c r="I16" i="16" s="1"/>
  <c r="J13" i="16"/>
  <c r="J16" i="16" s="1"/>
  <c r="K13" i="16"/>
  <c r="K16" i="16" s="1"/>
  <c r="B14" i="16"/>
  <c r="C14" i="16"/>
  <c r="D14" i="16"/>
  <c r="E14" i="16"/>
  <c r="F14" i="16"/>
  <c r="G14" i="16"/>
  <c r="H14" i="16"/>
  <c r="I14" i="16"/>
  <c r="J14" i="16"/>
  <c r="K14" i="16"/>
  <c r="B17" i="16"/>
  <c r="C17" i="16"/>
  <c r="D17" i="16"/>
  <c r="D20" i="16" s="1"/>
  <c r="E17" i="16"/>
  <c r="E20" i="16" s="1"/>
  <c r="F17" i="16"/>
  <c r="F20" i="16" s="1"/>
  <c r="G17" i="16"/>
  <c r="G20" i="16" s="1"/>
  <c r="H17" i="16"/>
  <c r="I17" i="16"/>
  <c r="J17" i="16"/>
  <c r="K17" i="16"/>
  <c r="B18" i="16"/>
  <c r="C18" i="16"/>
  <c r="D18" i="16"/>
  <c r="E18" i="16"/>
  <c r="F18" i="16"/>
  <c r="F21" i="16" s="1"/>
  <c r="G18" i="16"/>
  <c r="H18" i="16"/>
  <c r="I18" i="16"/>
  <c r="J18" i="16"/>
  <c r="K18" i="16"/>
  <c r="B20" i="16"/>
  <c r="C20" i="16"/>
  <c r="B21" i="16"/>
  <c r="C21" i="16"/>
  <c r="A1" i="15"/>
  <c r="E1" i="15"/>
  <c r="B3" i="15"/>
  <c r="C3" i="15"/>
  <c r="D3" i="15"/>
  <c r="E3" i="15"/>
  <c r="F3" i="15"/>
  <c r="G3" i="15"/>
  <c r="H3" i="15"/>
  <c r="I3" i="15"/>
  <c r="J3" i="15"/>
  <c r="K3" i="15"/>
  <c r="B4" i="15"/>
  <c r="C4" i="15"/>
  <c r="D4" i="15"/>
  <c r="E4" i="15"/>
  <c r="E14" i="15" s="1"/>
  <c r="F4" i="15"/>
  <c r="F14" i="15" s="1"/>
  <c r="G4" i="15"/>
  <c r="G14" i="15" s="1"/>
  <c r="H4" i="15"/>
  <c r="H14" i="15" s="1"/>
  <c r="I4" i="15"/>
  <c r="J4" i="15"/>
  <c r="K4" i="15"/>
  <c r="B5" i="15"/>
  <c r="C5" i="15"/>
  <c r="D5" i="15"/>
  <c r="E5" i="15"/>
  <c r="F5" i="15"/>
  <c r="G5" i="15"/>
  <c r="H5" i="15"/>
  <c r="I5" i="15"/>
  <c r="J5" i="15"/>
  <c r="K5" i="15"/>
  <c r="B6" i="15"/>
  <c r="C6" i="15"/>
  <c r="D6" i="15"/>
  <c r="E6" i="15"/>
  <c r="F6" i="15"/>
  <c r="G6" i="15"/>
  <c r="H6" i="15"/>
  <c r="I6" i="15"/>
  <c r="J6" i="15"/>
  <c r="K6" i="15"/>
  <c r="B7" i="15"/>
  <c r="C7" i="15"/>
  <c r="D7" i="15"/>
  <c r="E7" i="15"/>
  <c r="F7" i="15"/>
  <c r="G7" i="15"/>
  <c r="H7" i="15"/>
  <c r="L7" i="14" s="1"/>
  <c r="I7" i="15"/>
  <c r="J7" i="15"/>
  <c r="K7" i="15"/>
  <c r="B8" i="15"/>
  <c r="C8" i="15"/>
  <c r="D8" i="15"/>
  <c r="E8" i="15"/>
  <c r="F8" i="15"/>
  <c r="G8" i="15"/>
  <c r="H8" i="15"/>
  <c r="I8" i="15"/>
  <c r="J8" i="15"/>
  <c r="K8" i="15"/>
  <c r="B9" i="15"/>
  <c r="C9" i="15"/>
  <c r="D9" i="15"/>
  <c r="E9" i="15"/>
  <c r="F9" i="15"/>
  <c r="G9" i="15"/>
  <c r="H9" i="15"/>
  <c r="I9" i="15"/>
  <c r="J9" i="15"/>
  <c r="K9" i="15"/>
  <c r="B10" i="15"/>
  <c r="C10" i="15"/>
  <c r="D10" i="15"/>
  <c r="E10" i="15"/>
  <c r="F10" i="15"/>
  <c r="G10" i="15"/>
  <c r="H10" i="15"/>
  <c r="I10" i="15"/>
  <c r="J10" i="15"/>
  <c r="K10" i="15"/>
  <c r="B11" i="15"/>
  <c r="C11" i="15"/>
  <c r="D11" i="15"/>
  <c r="E11" i="15"/>
  <c r="F11" i="15"/>
  <c r="G11" i="15"/>
  <c r="H11" i="15"/>
  <c r="I11" i="15"/>
  <c r="J11" i="15"/>
  <c r="K11" i="15"/>
  <c r="B12" i="15"/>
  <c r="C12" i="15"/>
  <c r="D12" i="15"/>
  <c r="E12" i="15"/>
  <c r="F12" i="15"/>
  <c r="G12" i="15"/>
  <c r="H12" i="15"/>
  <c r="L12" i="14" s="1"/>
  <c r="L13" i="14" s="1"/>
  <c r="L14" i="14" s="1"/>
  <c r="L25" i="14" s="1"/>
  <c r="I12" i="15"/>
  <c r="J12" i="15"/>
  <c r="K12" i="15"/>
  <c r="I14" i="15"/>
  <c r="J14" i="15"/>
  <c r="K14" i="15"/>
  <c r="A1" i="14"/>
  <c r="A1" i="16" s="1"/>
  <c r="A1" i="17" s="1"/>
  <c r="H1" i="14"/>
  <c r="B3" i="14"/>
  <c r="C3" i="14"/>
  <c r="D3" i="14"/>
  <c r="E3" i="14"/>
  <c r="F3" i="14"/>
  <c r="G3" i="14"/>
  <c r="H3" i="14"/>
  <c r="I3" i="14"/>
  <c r="J3" i="14"/>
  <c r="K3" i="14"/>
  <c r="B4" i="14"/>
  <c r="C4" i="14"/>
  <c r="C6" i="14" s="1"/>
  <c r="C19" i="14" s="1"/>
  <c r="D4" i="14"/>
  <c r="D6" i="14" s="1"/>
  <c r="D19" i="14" s="1"/>
  <c r="E4" i="14"/>
  <c r="E6" i="14" s="1"/>
  <c r="E19" i="14" s="1"/>
  <c r="F4" i="14"/>
  <c r="J23" i="14" s="1"/>
  <c r="G4" i="14"/>
  <c r="G21" i="16" s="1"/>
  <c r="H4" i="14"/>
  <c r="H20" i="16" s="1"/>
  <c r="I4" i="14"/>
  <c r="I21" i="16" s="1"/>
  <c r="J4" i="14"/>
  <c r="L23" i="14" s="1"/>
  <c r="K4" i="14"/>
  <c r="K20" i="16" s="1"/>
  <c r="L4" i="14"/>
  <c r="B5" i="14"/>
  <c r="C5" i="14"/>
  <c r="D5" i="14"/>
  <c r="E5" i="14"/>
  <c r="F5" i="14"/>
  <c r="G5" i="14"/>
  <c r="H5" i="14"/>
  <c r="I5" i="14"/>
  <c r="J5" i="14"/>
  <c r="K5" i="14"/>
  <c r="B7" i="14"/>
  <c r="C7" i="14"/>
  <c r="D7" i="14"/>
  <c r="E7" i="14"/>
  <c r="F7" i="14"/>
  <c r="G7" i="14"/>
  <c r="H7" i="14"/>
  <c r="I7" i="14"/>
  <c r="J7" i="14"/>
  <c r="K7" i="14"/>
  <c r="B8" i="14"/>
  <c r="C8" i="14"/>
  <c r="D8" i="14"/>
  <c r="E8" i="14"/>
  <c r="F8" i="14"/>
  <c r="G8" i="14"/>
  <c r="H8" i="14"/>
  <c r="I8" i="14"/>
  <c r="J8" i="14"/>
  <c r="K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B10" i="14"/>
  <c r="C10" i="14"/>
  <c r="D10" i="14"/>
  <c r="E10" i="14"/>
  <c r="F10" i="14"/>
  <c r="G10" i="14"/>
  <c r="H10" i="14"/>
  <c r="I10" i="14"/>
  <c r="J10" i="14"/>
  <c r="K10" i="14"/>
  <c r="B11" i="14"/>
  <c r="C11" i="14"/>
  <c r="D11" i="14"/>
  <c r="E11" i="14"/>
  <c r="F11" i="14"/>
  <c r="G11" i="14"/>
  <c r="H11" i="14"/>
  <c r="I11" i="14"/>
  <c r="J11" i="14"/>
  <c r="K11" i="14"/>
  <c r="B12" i="14"/>
  <c r="C12" i="14"/>
  <c r="C13" i="14" s="1"/>
  <c r="D12" i="14"/>
  <c r="E12" i="14"/>
  <c r="E13" i="14" s="1"/>
  <c r="F12" i="14"/>
  <c r="F13" i="14" s="1"/>
  <c r="G12" i="14"/>
  <c r="G13" i="14" s="1"/>
  <c r="H12" i="14"/>
  <c r="H13" i="14" s="1"/>
  <c r="I12" i="14"/>
  <c r="I13" i="14" s="1"/>
  <c r="I14" i="14" s="1"/>
  <c r="J12" i="14"/>
  <c r="J13" i="14" s="1"/>
  <c r="K12" i="14"/>
  <c r="K13" i="14" s="1"/>
  <c r="B13" i="14"/>
  <c r="B14" i="14" s="1"/>
  <c r="D13" i="14"/>
  <c r="B15" i="14"/>
  <c r="C15" i="14"/>
  <c r="D15" i="14"/>
  <c r="D14" i="14" s="1"/>
  <c r="E15" i="14"/>
  <c r="F15" i="14"/>
  <c r="F14" i="14" s="1"/>
  <c r="G15" i="14"/>
  <c r="H15" i="14"/>
  <c r="I15" i="14"/>
  <c r="J15" i="14"/>
  <c r="K15" i="14"/>
  <c r="K14" i="14" s="1"/>
  <c r="L15" i="14"/>
  <c r="B18" i="14"/>
  <c r="C18" i="14"/>
  <c r="D18" i="14"/>
  <c r="E18" i="14"/>
  <c r="F18" i="14"/>
  <c r="G18" i="14"/>
  <c r="H18" i="14"/>
  <c r="I18" i="14"/>
  <c r="J18" i="14"/>
  <c r="K18" i="14"/>
  <c r="E14" i="14" l="1"/>
  <c r="K21" i="16"/>
  <c r="K6" i="14"/>
  <c r="K19" i="14" s="1"/>
  <c r="J6" i="14"/>
  <c r="J19" i="14" s="1"/>
  <c r="D14" i="15"/>
  <c r="I6" i="14"/>
  <c r="I19" i="14" s="1"/>
  <c r="K23" i="14"/>
  <c r="G14" i="14"/>
  <c r="J25" i="14" s="1"/>
  <c r="G6" i="14"/>
  <c r="G19" i="14" s="1"/>
  <c r="J24" i="14" s="1"/>
  <c r="L11" i="14"/>
  <c r="E16" i="16"/>
  <c r="K23" i="16"/>
  <c r="E24" i="16"/>
  <c r="L10" i="14"/>
  <c r="M11" i="14" s="1"/>
  <c r="C14" i="14"/>
  <c r="F6" i="14"/>
  <c r="F19" i="14" s="1"/>
  <c r="I24" i="14" s="1"/>
  <c r="F16" i="16"/>
  <c r="K24" i="16"/>
  <c r="D24" i="16"/>
  <c r="L8" i="14"/>
  <c r="E21" i="16"/>
  <c r="C24" i="16"/>
  <c r="J21" i="16"/>
  <c r="L5" i="14"/>
  <c r="H6" i="14"/>
  <c r="H19" i="14" s="1"/>
  <c r="D21" i="16"/>
  <c r="J20" i="16"/>
  <c r="I24" i="16"/>
  <c r="B23" i="16"/>
  <c r="H21" i="16"/>
  <c r="B14" i="15"/>
  <c r="I20" i="16"/>
  <c r="H24" i="16"/>
  <c r="C14" i="15"/>
  <c r="L6" i="14"/>
  <c r="L19" i="14" s="1"/>
  <c r="L24" i="14" s="1"/>
  <c r="J24" i="16"/>
  <c r="G24" i="16"/>
  <c r="J23" i="16"/>
  <c r="E23" i="16"/>
  <c r="D23" i="16"/>
  <c r="H23" i="16"/>
  <c r="G23" i="16"/>
  <c r="F23" i="16"/>
  <c r="C23" i="16"/>
  <c r="I23" i="16"/>
  <c r="M8" i="14"/>
  <c r="N8" i="14"/>
  <c r="M23" i="14"/>
  <c r="M4" i="14" s="1"/>
  <c r="H14" i="14"/>
  <c r="J14" i="14"/>
  <c r="K24" i="14"/>
  <c r="M24" i="14" s="1"/>
  <c r="K25" i="14"/>
  <c r="M25" i="14" s="1"/>
  <c r="M14" i="14" s="1"/>
  <c r="I23" i="14"/>
  <c r="B6" i="14"/>
  <c r="B19" i="14" s="1"/>
  <c r="H23" i="14"/>
  <c r="N23" i="14" s="1"/>
  <c r="N4" i="14" s="1"/>
  <c r="H24" i="14" l="1"/>
  <c r="N24" i="14" s="1"/>
  <c r="M6" i="14"/>
  <c r="I25" i="14"/>
  <c r="N11" i="14"/>
  <c r="H25" i="14"/>
  <c r="N25" i="14" s="1"/>
  <c r="N14" i="14" s="1"/>
  <c r="M10" i="14"/>
  <c r="M12" i="14" s="1"/>
  <c r="M13" i="14" s="1"/>
  <c r="M15" i="14" s="1"/>
  <c r="M5" i="14"/>
  <c r="N6" i="14"/>
  <c r="N10" i="14" s="1"/>
  <c r="N12" i="14" s="1"/>
  <c r="N13" i="14" s="1"/>
  <c r="N5" i="14"/>
  <c r="E1" i="13"/>
  <c r="B6" i="13"/>
  <c r="E1" i="11"/>
  <c r="B3" i="11"/>
  <c r="C3" i="11"/>
  <c r="D3" i="11"/>
  <c r="E3" i="11"/>
  <c r="F3" i="11"/>
  <c r="G3" i="11"/>
  <c r="H3" i="11"/>
  <c r="I3" i="11"/>
  <c r="J3" i="11"/>
  <c r="K3" i="11"/>
  <c r="B4" i="11"/>
  <c r="C4" i="11"/>
  <c r="D4" i="11"/>
  <c r="E4" i="11"/>
  <c r="F4" i="11"/>
  <c r="G4" i="11"/>
  <c r="H4" i="11"/>
  <c r="I4" i="11"/>
  <c r="J4" i="11"/>
  <c r="K4" i="11"/>
  <c r="B5" i="11"/>
  <c r="C5" i="11"/>
  <c r="D5" i="11"/>
  <c r="E5" i="11"/>
  <c r="F5" i="11"/>
  <c r="G5" i="11"/>
  <c r="H5" i="11"/>
  <c r="I5" i="11"/>
  <c r="J5" i="11"/>
  <c r="K5" i="11"/>
  <c r="B6" i="11"/>
  <c r="C6" i="11"/>
  <c r="D6" i="11"/>
  <c r="E6" i="11"/>
  <c r="F6" i="11"/>
  <c r="G6" i="11"/>
  <c r="H6" i="11"/>
  <c r="I6" i="11"/>
  <c r="J6" i="11"/>
  <c r="K6" i="11"/>
  <c r="B7" i="11"/>
  <c r="C7" i="11"/>
  <c r="D7" i="11"/>
  <c r="E7" i="11"/>
  <c r="F7" i="11"/>
  <c r="G7" i="11"/>
  <c r="H7" i="11"/>
  <c r="I7" i="11"/>
  <c r="J7" i="11"/>
  <c r="K7" i="11"/>
  <c r="E1" i="10"/>
  <c r="B3" i="10"/>
  <c r="C3" i="10"/>
  <c r="D3" i="10"/>
  <c r="E3" i="10"/>
  <c r="F3" i="10"/>
  <c r="G3" i="10"/>
  <c r="H3" i="10"/>
  <c r="I3" i="10"/>
  <c r="J3" i="10"/>
  <c r="K3" i="10"/>
  <c r="B4" i="10"/>
  <c r="C4" i="10"/>
  <c r="D4" i="10"/>
  <c r="E4" i="10"/>
  <c r="F4" i="10"/>
  <c r="G4" i="10"/>
  <c r="H4" i="10"/>
  <c r="I4" i="10"/>
  <c r="J4" i="10"/>
  <c r="K4" i="10"/>
  <c r="B5" i="10"/>
  <c r="C5" i="10"/>
  <c r="D5" i="10"/>
  <c r="E5" i="10"/>
  <c r="F24" i="10" s="1"/>
  <c r="F5" i="10"/>
  <c r="G5" i="10"/>
  <c r="H5" i="10"/>
  <c r="I5" i="10"/>
  <c r="J5" i="10"/>
  <c r="K5" i="10"/>
  <c r="B6" i="10"/>
  <c r="C6" i="10"/>
  <c r="D6" i="10"/>
  <c r="E6" i="10"/>
  <c r="F6" i="10"/>
  <c r="G6" i="10"/>
  <c r="H6" i="10"/>
  <c r="I6" i="10"/>
  <c r="J6" i="10"/>
  <c r="K6" i="10"/>
  <c r="B7" i="10"/>
  <c r="C7" i="10"/>
  <c r="D7" i="10"/>
  <c r="E7" i="10"/>
  <c r="F7" i="10"/>
  <c r="G7" i="10"/>
  <c r="H7" i="10"/>
  <c r="I7" i="10"/>
  <c r="J7" i="10"/>
  <c r="K7" i="10"/>
  <c r="B8" i="10"/>
  <c r="C8" i="10"/>
  <c r="D8" i="10"/>
  <c r="E8" i="10"/>
  <c r="F8" i="10"/>
  <c r="G8" i="10"/>
  <c r="H8" i="10"/>
  <c r="I8" i="10"/>
  <c r="J8" i="10"/>
  <c r="K8" i="10"/>
  <c r="B10" i="10"/>
  <c r="C10" i="10"/>
  <c r="D10" i="10"/>
  <c r="E10" i="10"/>
  <c r="F10" i="10"/>
  <c r="G10" i="10"/>
  <c r="H10" i="10"/>
  <c r="I10" i="10"/>
  <c r="J10" i="10"/>
  <c r="K10" i="10"/>
  <c r="B11" i="10"/>
  <c r="C11" i="10"/>
  <c r="D11" i="10"/>
  <c r="E11" i="10"/>
  <c r="F11" i="10"/>
  <c r="G11" i="10"/>
  <c r="H11" i="10"/>
  <c r="I11" i="10"/>
  <c r="J11" i="10"/>
  <c r="K11" i="10"/>
  <c r="B12" i="10"/>
  <c r="C12" i="10"/>
  <c r="D12" i="10"/>
  <c r="E12" i="10"/>
  <c r="F12" i="10"/>
  <c r="G12" i="10"/>
  <c r="H12" i="10"/>
  <c r="I12" i="10"/>
  <c r="J12" i="10"/>
  <c r="K12" i="10"/>
  <c r="B13" i="10"/>
  <c r="B16" i="10" s="1"/>
  <c r="C13" i="10"/>
  <c r="C16" i="10" s="1"/>
  <c r="D13" i="10"/>
  <c r="D16" i="10" s="1"/>
  <c r="E13" i="10"/>
  <c r="E16" i="10" s="1"/>
  <c r="F13" i="10"/>
  <c r="G13" i="10"/>
  <c r="H13" i="10"/>
  <c r="H16" i="10" s="1"/>
  <c r="I13" i="10"/>
  <c r="I16" i="10" s="1"/>
  <c r="J13" i="10"/>
  <c r="J16" i="10" s="1"/>
  <c r="K13" i="10"/>
  <c r="K16" i="10" s="1"/>
  <c r="B14" i="10"/>
  <c r="C14" i="10"/>
  <c r="D14" i="10"/>
  <c r="E14" i="10"/>
  <c r="F14" i="10"/>
  <c r="G14" i="10"/>
  <c r="H14" i="10"/>
  <c r="I14" i="10"/>
  <c r="J14" i="10"/>
  <c r="K14" i="10"/>
  <c r="B17" i="10"/>
  <c r="C17" i="10"/>
  <c r="D17" i="10"/>
  <c r="D20" i="10" s="1"/>
  <c r="E17" i="10"/>
  <c r="E20" i="10" s="1"/>
  <c r="F17" i="10"/>
  <c r="F20" i="10" s="1"/>
  <c r="G17" i="10"/>
  <c r="G20" i="10" s="1"/>
  <c r="H17" i="10"/>
  <c r="I17" i="10"/>
  <c r="J17" i="10"/>
  <c r="K17" i="10"/>
  <c r="B18" i="10"/>
  <c r="C18" i="10"/>
  <c r="D18" i="10"/>
  <c r="E18" i="10"/>
  <c r="F18" i="10"/>
  <c r="G18" i="10"/>
  <c r="H18" i="10"/>
  <c r="I18" i="10"/>
  <c r="J18" i="10"/>
  <c r="J21" i="10" s="1"/>
  <c r="K18" i="10"/>
  <c r="K21" i="10" s="1"/>
  <c r="B20" i="10"/>
  <c r="C20" i="10"/>
  <c r="B21" i="10"/>
  <c r="C21" i="10"/>
  <c r="D21" i="10"/>
  <c r="E21" i="10"/>
  <c r="F21" i="10"/>
  <c r="G21" i="10"/>
  <c r="H21" i="10"/>
  <c r="I21" i="10"/>
  <c r="A1" i="9"/>
  <c r="E1" i="9"/>
  <c r="B3" i="9"/>
  <c r="C3" i="9"/>
  <c r="D3" i="9"/>
  <c r="E3" i="9"/>
  <c r="F3" i="9"/>
  <c r="G3" i="9"/>
  <c r="H3" i="9"/>
  <c r="I3" i="9"/>
  <c r="J3" i="9"/>
  <c r="K3" i="9"/>
  <c r="B4" i="9"/>
  <c r="C4" i="9"/>
  <c r="D4" i="9"/>
  <c r="E4" i="9"/>
  <c r="E14" i="9" s="1"/>
  <c r="F4" i="9"/>
  <c r="F14" i="9" s="1"/>
  <c r="G4" i="9"/>
  <c r="G14" i="9" s="1"/>
  <c r="H4" i="9"/>
  <c r="H14" i="9" s="1"/>
  <c r="I4" i="9"/>
  <c r="J4" i="9"/>
  <c r="K4" i="9"/>
  <c r="B5" i="9"/>
  <c r="C5" i="9"/>
  <c r="D5" i="9"/>
  <c r="E5" i="9"/>
  <c r="F5" i="9"/>
  <c r="G5" i="9"/>
  <c r="H5" i="9"/>
  <c r="I5" i="9"/>
  <c r="J5" i="9"/>
  <c r="K5" i="9"/>
  <c r="B6" i="9"/>
  <c r="C6" i="9"/>
  <c r="D6" i="9"/>
  <c r="E6" i="9"/>
  <c r="F6" i="9"/>
  <c r="G6" i="9"/>
  <c r="H6" i="9"/>
  <c r="I6" i="9"/>
  <c r="J6" i="9"/>
  <c r="K6" i="9"/>
  <c r="B7" i="9"/>
  <c r="C7" i="9"/>
  <c r="D7" i="9"/>
  <c r="E7" i="9"/>
  <c r="F7" i="9"/>
  <c r="G7" i="9"/>
  <c r="H7" i="9"/>
  <c r="I7" i="9"/>
  <c r="J7" i="9"/>
  <c r="K7" i="9"/>
  <c r="B8" i="9"/>
  <c r="C8" i="9"/>
  <c r="D8" i="9"/>
  <c r="E8" i="9"/>
  <c r="F8" i="9"/>
  <c r="G8" i="9"/>
  <c r="H8" i="9"/>
  <c r="I8" i="9"/>
  <c r="J8" i="9"/>
  <c r="K8" i="9"/>
  <c r="B9" i="9"/>
  <c r="C9" i="9"/>
  <c r="D9" i="9"/>
  <c r="E9" i="9"/>
  <c r="F9" i="9"/>
  <c r="G9" i="9"/>
  <c r="H9" i="9"/>
  <c r="I9" i="9"/>
  <c r="J9" i="9"/>
  <c r="K9" i="9"/>
  <c r="B10" i="9"/>
  <c r="C10" i="9"/>
  <c r="D10" i="9"/>
  <c r="E10" i="9"/>
  <c r="F10" i="9"/>
  <c r="G10" i="9"/>
  <c r="H10" i="9"/>
  <c r="I10" i="9"/>
  <c r="J10" i="9"/>
  <c r="K10" i="9"/>
  <c r="B11" i="9"/>
  <c r="C11" i="9"/>
  <c r="D11" i="9"/>
  <c r="E11" i="9"/>
  <c r="F11" i="9"/>
  <c r="G11" i="9"/>
  <c r="H11" i="9"/>
  <c r="L11" i="8" s="1"/>
  <c r="I11" i="9"/>
  <c r="J11" i="9"/>
  <c r="K11" i="9"/>
  <c r="B12" i="9"/>
  <c r="C12" i="9"/>
  <c r="D12" i="9"/>
  <c r="E12" i="9"/>
  <c r="F12" i="9"/>
  <c r="G12" i="9"/>
  <c r="H12" i="9"/>
  <c r="L12" i="8" s="1"/>
  <c r="L13" i="8" s="1"/>
  <c r="L14" i="8" s="1"/>
  <c r="L25" i="8" s="1"/>
  <c r="I12" i="9"/>
  <c r="J12" i="9"/>
  <c r="K12" i="9"/>
  <c r="I14" i="9"/>
  <c r="J14" i="9"/>
  <c r="K14" i="9"/>
  <c r="A1" i="8"/>
  <c r="A1" i="10" s="1"/>
  <c r="A1" i="11" s="1"/>
  <c r="H1" i="8"/>
  <c r="B3" i="8"/>
  <c r="C3" i="8"/>
  <c r="D3" i="8"/>
  <c r="E3" i="8"/>
  <c r="F3" i="8"/>
  <c r="G3" i="8"/>
  <c r="H3" i="8"/>
  <c r="I3" i="8"/>
  <c r="J3" i="8"/>
  <c r="K3" i="8"/>
  <c r="B4" i="8"/>
  <c r="B6" i="8" s="1"/>
  <c r="B19" i="8" s="1"/>
  <c r="C4" i="8"/>
  <c r="D4" i="8"/>
  <c r="E4" i="8"/>
  <c r="F4" i="8"/>
  <c r="J23" i="8" s="1"/>
  <c r="G4" i="8"/>
  <c r="H4" i="8"/>
  <c r="H20" i="10" s="1"/>
  <c r="I4" i="8"/>
  <c r="I20" i="10" s="1"/>
  <c r="J4" i="8"/>
  <c r="J20" i="10" s="1"/>
  <c r="K4" i="8"/>
  <c r="K6" i="8" s="1"/>
  <c r="K19" i="8" s="1"/>
  <c r="L4" i="8"/>
  <c r="B5" i="8"/>
  <c r="C5" i="8"/>
  <c r="D5" i="8"/>
  <c r="E5" i="8"/>
  <c r="F5" i="8"/>
  <c r="G5" i="8"/>
  <c r="H5" i="8"/>
  <c r="I5" i="8"/>
  <c r="J5" i="8"/>
  <c r="K5" i="8"/>
  <c r="B7" i="8"/>
  <c r="C7" i="8"/>
  <c r="D7" i="8"/>
  <c r="E7" i="8"/>
  <c r="F7" i="8"/>
  <c r="G7" i="8"/>
  <c r="H7" i="8"/>
  <c r="I7" i="8"/>
  <c r="J7" i="8"/>
  <c r="K7" i="8"/>
  <c r="B8" i="8"/>
  <c r="C8" i="8"/>
  <c r="D8" i="8"/>
  <c r="E8" i="8"/>
  <c r="F8" i="8"/>
  <c r="G8" i="8"/>
  <c r="H8" i="8"/>
  <c r="I8" i="8"/>
  <c r="J8" i="8"/>
  <c r="K8" i="8"/>
  <c r="B9" i="8"/>
  <c r="C9" i="8"/>
  <c r="D9" i="8"/>
  <c r="E9" i="8"/>
  <c r="F9" i="8"/>
  <c r="G9" i="8"/>
  <c r="H9" i="8"/>
  <c r="I9" i="8"/>
  <c r="J9" i="8"/>
  <c r="K9" i="8"/>
  <c r="L9" i="8"/>
  <c r="N9" i="8" s="1"/>
  <c r="M9" i="8"/>
  <c r="B10" i="8"/>
  <c r="C10" i="8"/>
  <c r="D10" i="8"/>
  <c r="E10" i="8"/>
  <c r="F10" i="8"/>
  <c r="G10" i="8"/>
  <c r="H10" i="8"/>
  <c r="I10" i="8"/>
  <c r="J10" i="8"/>
  <c r="K10" i="8"/>
  <c r="B11" i="8"/>
  <c r="C11" i="8"/>
  <c r="D11" i="8"/>
  <c r="E11" i="8"/>
  <c r="F11" i="8"/>
  <c r="G11" i="8"/>
  <c r="H11" i="8"/>
  <c r="I11" i="8"/>
  <c r="J11" i="8"/>
  <c r="K11" i="8"/>
  <c r="B12" i="8"/>
  <c r="C12" i="8"/>
  <c r="C13" i="8" s="1"/>
  <c r="C14" i="8" s="1"/>
  <c r="D12" i="8"/>
  <c r="D13" i="8" s="1"/>
  <c r="D14" i="8" s="1"/>
  <c r="E12" i="8"/>
  <c r="E13" i="8" s="1"/>
  <c r="E14" i="8" s="1"/>
  <c r="F12" i="8"/>
  <c r="F13" i="8" s="1"/>
  <c r="G12" i="8"/>
  <c r="H12" i="8"/>
  <c r="I12" i="8"/>
  <c r="I13" i="8" s="1"/>
  <c r="I14" i="8" s="1"/>
  <c r="K25" i="8" s="1"/>
  <c r="M25" i="8" s="1"/>
  <c r="M14" i="8" s="1"/>
  <c r="J12" i="8"/>
  <c r="J13" i="8" s="1"/>
  <c r="J14" i="8" s="1"/>
  <c r="K12" i="8"/>
  <c r="K13" i="8" s="1"/>
  <c r="K14" i="8" s="1"/>
  <c r="B13" i="8"/>
  <c r="B14" i="8" s="1"/>
  <c r="G13" i="8"/>
  <c r="H13" i="8"/>
  <c r="B15" i="8"/>
  <c r="C15" i="8"/>
  <c r="D15" i="8"/>
  <c r="E15" i="8"/>
  <c r="F15" i="8"/>
  <c r="G15" i="8"/>
  <c r="H15" i="8"/>
  <c r="I15" i="8"/>
  <c r="J15" i="8"/>
  <c r="K15" i="8"/>
  <c r="L15" i="8"/>
  <c r="B18" i="8"/>
  <c r="C18" i="8"/>
  <c r="D18" i="8"/>
  <c r="E18" i="8"/>
  <c r="F18" i="8"/>
  <c r="G18" i="8"/>
  <c r="H18" i="8"/>
  <c r="I18" i="8"/>
  <c r="J18" i="8"/>
  <c r="K18" i="8"/>
  <c r="N15" i="14" l="1"/>
  <c r="C14" i="9"/>
  <c r="L23" i="8"/>
  <c r="J6" i="8"/>
  <c r="J19" i="8" s="1"/>
  <c r="L10" i="8"/>
  <c r="M11" i="8" s="1"/>
  <c r="B14" i="9"/>
  <c r="F16" i="10"/>
  <c r="J23" i="10"/>
  <c r="D24" i="10"/>
  <c r="L8" i="8"/>
  <c r="M8" i="8" s="1"/>
  <c r="G14" i="8"/>
  <c r="K23" i="10"/>
  <c r="K20" i="10"/>
  <c r="J24" i="10"/>
  <c r="C23" i="10"/>
  <c r="K23" i="8"/>
  <c r="M23" i="8" s="1"/>
  <c r="M4" i="8" s="1"/>
  <c r="G6" i="8"/>
  <c r="G19" i="8" s="1"/>
  <c r="H24" i="8" s="1"/>
  <c r="F6" i="8"/>
  <c r="F19" i="8" s="1"/>
  <c r="H23" i="10"/>
  <c r="B23" i="10"/>
  <c r="D14" i="9"/>
  <c r="I6" i="8"/>
  <c r="I19" i="8" s="1"/>
  <c r="L5" i="8"/>
  <c r="H14" i="8"/>
  <c r="I23" i="8"/>
  <c r="H6" i="8"/>
  <c r="H19" i="8" s="1"/>
  <c r="G16" i="10"/>
  <c r="H24" i="10"/>
  <c r="L7" i="8"/>
  <c r="E24" i="10"/>
  <c r="L6" i="8"/>
  <c r="L19" i="8" s="1"/>
  <c r="L24" i="8" s="1"/>
  <c r="G24" i="10"/>
  <c r="C24" i="10"/>
  <c r="G23" i="10"/>
  <c r="E23" i="10"/>
  <c r="D23" i="10"/>
  <c r="I23" i="10"/>
  <c r="K24" i="10"/>
  <c r="I24" i="10"/>
  <c r="F23" i="10"/>
  <c r="F14" i="8"/>
  <c r="H25" i="8"/>
  <c r="J25" i="8"/>
  <c r="K24" i="8"/>
  <c r="M24" i="8" s="1"/>
  <c r="I25" i="8"/>
  <c r="E6" i="8"/>
  <c r="E19" i="8" s="1"/>
  <c r="D6" i="8"/>
  <c r="D19" i="8" s="1"/>
  <c r="C6" i="8"/>
  <c r="C19" i="8" s="1"/>
  <c r="H23" i="8"/>
  <c r="N11" i="8"/>
  <c r="J24" i="8" l="1"/>
  <c r="N8" i="8"/>
  <c r="I24" i="8"/>
  <c r="N24" i="8" s="1"/>
  <c r="N6" i="8" s="1"/>
  <c r="N10" i="8" s="1"/>
  <c r="N12" i="8" s="1"/>
  <c r="N13" i="8" s="1"/>
  <c r="N23" i="8"/>
  <c r="N4" i="8" s="1"/>
  <c r="M6" i="8"/>
  <c r="M10" i="8" s="1"/>
  <c r="M12" i="8" s="1"/>
  <c r="M13" i="8" s="1"/>
  <c r="M15" i="8" s="1"/>
  <c r="M5" i="8"/>
  <c r="N25" i="8"/>
  <c r="N14" i="8" s="1"/>
  <c r="E1" i="7"/>
  <c r="B6" i="7"/>
  <c r="E1" i="5"/>
  <c r="B3" i="5"/>
  <c r="C3" i="5"/>
  <c r="D3" i="5"/>
  <c r="E3" i="5"/>
  <c r="F3" i="5"/>
  <c r="G3" i="5"/>
  <c r="H3" i="5"/>
  <c r="I3" i="5"/>
  <c r="J3" i="5"/>
  <c r="K3" i="5"/>
  <c r="B4" i="5"/>
  <c r="C4" i="5"/>
  <c r="D4" i="5"/>
  <c r="E4" i="5"/>
  <c r="F4" i="5"/>
  <c r="G4" i="5"/>
  <c r="H4" i="5"/>
  <c r="I4" i="5"/>
  <c r="J4" i="5"/>
  <c r="K4" i="5"/>
  <c r="B5" i="5"/>
  <c r="C5" i="5"/>
  <c r="D5" i="5"/>
  <c r="E5" i="5"/>
  <c r="F5" i="5"/>
  <c r="G5" i="5"/>
  <c r="H5" i="5"/>
  <c r="I5" i="5"/>
  <c r="J5" i="5"/>
  <c r="K5" i="5"/>
  <c r="B6" i="5"/>
  <c r="C6" i="5"/>
  <c r="D6" i="5"/>
  <c r="E6" i="5"/>
  <c r="F6" i="5"/>
  <c r="G6" i="5"/>
  <c r="H6" i="5"/>
  <c r="I6" i="5"/>
  <c r="J6" i="5"/>
  <c r="K6" i="5"/>
  <c r="B7" i="5"/>
  <c r="C7" i="5"/>
  <c r="D7" i="5"/>
  <c r="E7" i="5"/>
  <c r="F7" i="5"/>
  <c r="G7" i="5"/>
  <c r="H7" i="5"/>
  <c r="I7" i="5"/>
  <c r="J7" i="5"/>
  <c r="K7" i="5"/>
  <c r="E1" i="4"/>
  <c r="B3" i="4"/>
  <c r="C3" i="4"/>
  <c r="D3" i="4"/>
  <c r="E3" i="4"/>
  <c r="F3" i="4"/>
  <c r="G3" i="4"/>
  <c r="H3" i="4"/>
  <c r="I3" i="4"/>
  <c r="J3" i="4"/>
  <c r="K3" i="4"/>
  <c r="B4" i="4"/>
  <c r="C4" i="4"/>
  <c r="D4" i="4"/>
  <c r="E4" i="4"/>
  <c r="F4" i="4"/>
  <c r="G4" i="4"/>
  <c r="H4" i="4"/>
  <c r="I4" i="4"/>
  <c r="J4" i="4"/>
  <c r="K4" i="4"/>
  <c r="B5" i="4"/>
  <c r="C5" i="4"/>
  <c r="D5" i="4"/>
  <c r="E5" i="4"/>
  <c r="F24" i="4" s="1"/>
  <c r="F5" i="4"/>
  <c r="G5" i="4"/>
  <c r="H5" i="4"/>
  <c r="I5" i="4"/>
  <c r="J5" i="4"/>
  <c r="K5" i="4"/>
  <c r="B6" i="4"/>
  <c r="C6" i="4"/>
  <c r="D6" i="4"/>
  <c r="E6" i="4"/>
  <c r="F6" i="4"/>
  <c r="G6" i="4"/>
  <c r="H6" i="4"/>
  <c r="I6" i="4"/>
  <c r="J6" i="4"/>
  <c r="K6" i="4"/>
  <c r="B7" i="4"/>
  <c r="C7" i="4"/>
  <c r="D7" i="4"/>
  <c r="E7" i="4"/>
  <c r="F7" i="4"/>
  <c r="G7" i="4"/>
  <c r="G16" i="4" s="1"/>
  <c r="H7" i="4"/>
  <c r="I7" i="4"/>
  <c r="J7" i="4"/>
  <c r="K7" i="4"/>
  <c r="B8" i="4"/>
  <c r="C8" i="4"/>
  <c r="D8" i="4"/>
  <c r="E8" i="4"/>
  <c r="F8" i="4"/>
  <c r="G8" i="4"/>
  <c r="H8" i="4"/>
  <c r="I8" i="4"/>
  <c r="J8" i="4"/>
  <c r="K8" i="4"/>
  <c r="B10" i="4"/>
  <c r="C10" i="4"/>
  <c r="D10" i="4"/>
  <c r="E10" i="4"/>
  <c r="F10" i="4"/>
  <c r="G10" i="4"/>
  <c r="H10" i="4"/>
  <c r="I10" i="4"/>
  <c r="J10" i="4"/>
  <c r="K10" i="4"/>
  <c r="B11" i="4"/>
  <c r="C11" i="4"/>
  <c r="D11" i="4"/>
  <c r="E11" i="4"/>
  <c r="F11" i="4"/>
  <c r="G11" i="4"/>
  <c r="H11" i="4"/>
  <c r="I11" i="4"/>
  <c r="J11" i="4"/>
  <c r="K11" i="4"/>
  <c r="B12" i="4"/>
  <c r="C12" i="4"/>
  <c r="D12" i="4"/>
  <c r="E12" i="4"/>
  <c r="F12" i="4"/>
  <c r="G12" i="4"/>
  <c r="H12" i="4"/>
  <c r="I12" i="4"/>
  <c r="J12" i="4"/>
  <c r="K12" i="4"/>
  <c r="B13" i="4"/>
  <c r="B16" i="4" s="1"/>
  <c r="C13" i="4"/>
  <c r="C16" i="4" s="1"/>
  <c r="D13" i="4"/>
  <c r="D16" i="4" s="1"/>
  <c r="E13" i="4"/>
  <c r="E16" i="4" s="1"/>
  <c r="F13" i="4"/>
  <c r="G13" i="4"/>
  <c r="H13" i="4"/>
  <c r="I13" i="4"/>
  <c r="I16" i="4" s="1"/>
  <c r="J13" i="4"/>
  <c r="J16" i="4" s="1"/>
  <c r="K13" i="4"/>
  <c r="K16" i="4" s="1"/>
  <c r="B14" i="4"/>
  <c r="C14" i="4"/>
  <c r="D14" i="4"/>
  <c r="E14" i="4"/>
  <c r="F14" i="4"/>
  <c r="G14" i="4"/>
  <c r="H14" i="4"/>
  <c r="I14" i="4"/>
  <c r="J14" i="4"/>
  <c r="K14" i="4"/>
  <c r="H16" i="4"/>
  <c r="B17" i="4"/>
  <c r="C17" i="4"/>
  <c r="D17" i="4"/>
  <c r="D20" i="4" s="1"/>
  <c r="E17" i="4"/>
  <c r="E20" i="4" s="1"/>
  <c r="F17" i="4"/>
  <c r="F20" i="4" s="1"/>
  <c r="G17" i="4"/>
  <c r="G20" i="4" s="1"/>
  <c r="H17" i="4"/>
  <c r="I17" i="4"/>
  <c r="J17" i="4"/>
  <c r="K17" i="4"/>
  <c r="B18" i="4"/>
  <c r="C18" i="4"/>
  <c r="C21" i="4" s="1"/>
  <c r="D18" i="4"/>
  <c r="D21" i="4" s="1"/>
  <c r="E18" i="4"/>
  <c r="F18" i="4"/>
  <c r="G18" i="4"/>
  <c r="H18" i="4"/>
  <c r="H21" i="4" s="1"/>
  <c r="I18" i="4"/>
  <c r="J18" i="4"/>
  <c r="J21" i="4" s="1"/>
  <c r="K18" i="4"/>
  <c r="K21" i="4" s="1"/>
  <c r="B20" i="4"/>
  <c r="C20" i="4"/>
  <c r="B21" i="4"/>
  <c r="E21" i="4"/>
  <c r="F21" i="4"/>
  <c r="G21" i="4"/>
  <c r="I21" i="4"/>
  <c r="A1" i="3"/>
  <c r="E1" i="3"/>
  <c r="B3" i="3"/>
  <c r="C3" i="3"/>
  <c r="D3" i="3"/>
  <c r="E3" i="3"/>
  <c r="F3" i="3"/>
  <c r="G3" i="3"/>
  <c r="H3" i="3"/>
  <c r="I3" i="3"/>
  <c r="J3" i="3"/>
  <c r="K3" i="3"/>
  <c r="B4" i="3"/>
  <c r="C4" i="3"/>
  <c r="D4" i="3"/>
  <c r="E4" i="3"/>
  <c r="E14" i="3" s="1"/>
  <c r="F4" i="3"/>
  <c r="F14" i="3" s="1"/>
  <c r="G4" i="3"/>
  <c r="G14" i="3" s="1"/>
  <c r="H4" i="3"/>
  <c r="H14" i="3" s="1"/>
  <c r="I4" i="3"/>
  <c r="J4" i="3"/>
  <c r="K4" i="3"/>
  <c r="B5" i="3"/>
  <c r="C5" i="3"/>
  <c r="D5" i="3"/>
  <c r="E5" i="3"/>
  <c r="F5" i="3"/>
  <c r="G5" i="3"/>
  <c r="H5" i="3"/>
  <c r="I5" i="3"/>
  <c r="J5" i="3"/>
  <c r="K5" i="3"/>
  <c r="B6" i="3"/>
  <c r="C6" i="3"/>
  <c r="D6" i="3"/>
  <c r="E6" i="3"/>
  <c r="F6" i="3"/>
  <c r="G6" i="3"/>
  <c r="H6" i="3"/>
  <c r="I6" i="3"/>
  <c r="J6" i="3"/>
  <c r="J14" i="3" s="1"/>
  <c r="K6" i="3"/>
  <c r="B7" i="3"/>
  <c r="C7" i="3"/>
  <c r="D7" i="3"/>
  <c r="E7" i="3"/>
  <c r="F7" i="3"/>
  <c r="G7" i="3"/>
  <c r="H7" i="3"/>
  <c r="L7" i="2" s="1"/>
  <c r="I7" i="3"/>
  <c r="J7" i="3"/>
  <c r="K7" i="3"/>
  <c r="B8" i="3"/>
  <c r="C8" i="3"/>
  <c r="D8" i="3"/>
  <c r="E8" i="3"/>
  <c r="F8" i="3"/>
  <c r="G8" i="3"/>
  <c r="H8" i="3"/>
  <c r="I8" i="3"/>
  <c r="J8" i="3"/>
  <c r="K8" i="3"/>
  <c r="B9" i="3"/>
  <c r="C9" i="3"/>
  <c r="D9" i="3"/>
  <c r="E9" i="3"/>
  <c r="F9" i="3"/>
  <c r="G9" i="3"/>
  <c r="H9" i="3"/>
  <c r="I9" i="3"/>
  <c r="J9" i="3"/>
  <c r="K9" i="3"/>
  <c r="B10" i="3"/>
  <c r="C10" i="3"/>
  <c r="D10" i="3"/>
  <c r="E10" i="3"/>
  <c r="F10" i="3"/>
  <c r="G10" i="3"/>
  <c r="H10" i="3"/>
  <c r="I10" i="3"/>
  <c r="J10" i="3"/>
  <c r="K10" i="3"/>
  <c r="B11" i="3"/>
  <c r="C11" i="3"/>
  <c r="D11" i="3"/>
  <c r="E11" i="3"/>
  <c r="F11" i="3"/>
  <c r="G11" i="3"/>
  <c r="H11" i="3"/>
  <c r="I11" i="3"/>
  <c r="J11" i="3"/>
  <c r="K11" i="3"/>
  <c r="B12" i="3"/>
  <c r="C12" i="3"/>
  <c r="D12" i="3"/>
  <c r="E12" i="3"/>
  <c r="F12" i="3"/>
  <c r="G12" i="3"/>
  <c r="H12" i="3"/>
  <c r="L12" i="2" s="1"/>
  <c r="L13" i="2" s="1"/>
  <c r="L14" i="2" s="1"/>
  <c r="L25" i="2" s="1"/>
  <c r="I12" i="3"/>
  <c r="J12" i="3"/>
  <c r="K12" i="3"/>
  <c r="I14" i="3"/>
  <c r="K14" i="3"/>
  <c r="A1" i="2"/>
  <c r="A1" i="4" s="1"/>
  <c r="A1" i="5" s="1"/>
  <c r="H1" i="2"/>
  <c r="B3" i="2"/>
  <c r="C3" i="2"/>
  <c r="D3" i="2"/>
  <c r="E3" i="2"/>
  <c r="F3" i="2"/>
  <c r="G3" i="2"/>
  <c r="H3" i="2"/>
  <c r="I3" i="2"/>
  <c r="J3" i="2"/>
  <c r="K3" i="2"/>
  <c r="B4" i="2"/>
  <c r="C4" i="2"/>
  <c r="C6" i="2" s="1"/>
  <c r="C19" i="2" s="1"/>
  <c r="D4" i="2"/>
  <c r="D6" i="2" s="1"/>
  <c r="D19" i="2" s="1"/>
  <c r="E4" i="2"/>
  <c r="E6" i="2" s="1"/>
  <c r="E19" i="2" s="1"/>
  <c r="F4" i="2"/>
  <c r="J23" i="2" s="1"/>
  <c r="G4" i="2"/>
  <c r="H4" i="2"/>
  <c r="H20" i="4" s="1"/>
  <c r="I4" i="2"/>
  <c r="I20" i="4" s="1"/>
  <c r="J4" i="2"/>
  <c r="L23" i="2" s="1"/>
  <c r="K4" i="2"/>
  <c r="K20" i="4" s="1"/>
  <c r="L4" i="2"/>
  <c r="B5" i="2"/>
  <c r="C5" i="2"/>
  <c r="D5" i="2"/>
  <c r="E5" i="2"/>
  <c r="F5" i="2"/>
  <c r="G5" i="2"/>
  <c r="H5" i="2"/>
  <c r="I5" i="2"/>
  <c r="J5" i="2"/>
  <c r="K5" i="2"/>
  <c r="B7" i="2"/>
  <c r="C7" i="2"/>
  <c r="D7" i="2"/>
  <c r="E7" i="2"/>
  <c r="F7" i="2"/>
  <c r="G7" i="2"/>
  <c r="H7" i="2"/>
  <c r="I7" i="2"/>
  <c r="J7" i="2"/>
  <c r="K7" i="2"/>
  <c r="B8" i="2"/>
  <c r="C8" i="2"/>
  <c r="D8" i="2"/>
  <c r="E8" i="2"/>
  <c r="F8" i="2"/>
  <c r="G8" i="2"/>
  <c r="H8" i="2"/>
  <c r="I8" i="2"/>
  <c r="J8" i="2"/>
  <c r="K8" i="2"/>
  <c r="B9" i="2"/>
  <c r="C9" i="2"/>
  <c r="D9" i="2"/>
  <c r="E9" i="2"/>
  <c r="F9" i="2"/>
  <c r="G9" i="2"/>
  <c r="H9" i="2"/>
  <c r="I9" i="2"/>
  <c r="J9" i="2"/>
  <c r="K9" i="2"/>
  <c r="L9" i="2"/>
  <c r="M9" i="2"/>
  <c r="N9" i="2"/>
  <c r="B10" i="2"/>
  <c r="C10" i="2"/>
  <c r="D10" i="2"/>
  <c r="E10" i="2"/>
  <c r="F10" i="2"/>
  <c r="G10" i="2"/>
  <c r="H10" i="2"/>
  <c r="I10" i="2"/>
  <c r="J10" i="2"/>
  <c r="K10" i="2"/>
  <c r="B11" i="2"/>
  <c r="C11" i="2"/>
  <c r="D11" i="2"/>
  <c r="E11" i="2"/>
  <c r="F11" i="2"/>
  <c r="G11" i="2"/>
  <c r="H11" i="2"/>
  <c r="I11" i="2"/>
  <c r="J11" i="2"/>
  <c r="K11" i="2"/>
  <c r="B12" i="2"/>
  <c r="C12" i="2"/>
  <c r="D12" i="2"/>
  <c r="D13" i="2" s="1"/>
  <c r="D14" i="2" s="1"/>
  <c r="E12" i="2"/>
  <c r="E13" i="2" s="1"/>
  <c r="E14" i="2" s="1"/>
  <c r="F12" i="2"/>
  <c r="F13" i="2" s="1"/>
  <c r="G12" i="2"/>
  <c r="G13" i="2" s="1"/>
  <c r="H12" i="2"/>
  <c r="I12" i="2"/>
  <c r="I13" i="2" s="1"/>
  <c r="J12" i="2"/>
  <c r="J13" i="2" s="1"/>
  <c r="J14" i="2" s="1"/>
  <c r="K12" i="2"/>
  <c r="K13" i="2" s="1"/>
  <c r="K14" i="2" s="1"/>
  <c r="B13" i="2"/>
  <c r="B14" i="2" s="1"/>
  <c r="C13" i="2"/>
  <c r="B15" i="2"/>
  <c r="C15" i="2"/>
  <c r="C14" i="2" s="1"/>
  <c r="D15" i="2"/>
  <c r="E15" i="2"/>
  <c r="F15" i="2"/>
  <c r="G15" i="2"/>
  <c r="H15" i="2"/>
  <c r="I15" i="2"/>
  <c r="J15" i="2"/>
  <c r="K15" i="2"/>
  <c r="L15" i="2"/>
  <c r="B18" i="2"/>
  <c r="C18" i="2"/>
  <c r="D18" i="2"/>
  <c r="E18" i="2"/>
  <c r="F18" i="2"/>
  <c r="G18" i="2"/>
  <c r="H18" i="2"/>
  <c r="I18" i="2"/>
  <c r="J18" i="2"/>
  <c r="K18" i="2"/>
  <c r="N15" i="8" l="1"/>
  <c r="N5" i="8"/>
  <c r="K6" i="2"/>
  <c r="K19" i="2" s="1"/>
  <c r="J6" i="2"/>
  <c r="J19" i="2" s="1"/>
  <c r="L10" i="2"/>
  <c r="M11" i="2" s="1"/>
  <c r="D14" i="3"/>
  <c r="I6" i="2"/>
  <c r="I19" i="2" s="1"/>
  <c r="L8" i="2"/>
  <c r="N8" i="2" s="1"/>
  <c r="K23" i="2"/>
  <c r="M23" i="2" s="1"/>
  <c r="M4" i="2" s="1"/>
  <c r="L5" i="2"/>
  <c r="G6" i="2"/>
  <c r="G19" i="2" s="1"/>
  <c r="J24" i="2" s="1"/>
  <c r="K24" i="4"/>
  <c r="L6" i="2"/>
  <c r="L19" i="2" s="1"/>
  <c r="L24" i="2" s="1"/>
  <c r="J24" i="4"/>
  <c r="C24" i="4"/>
  <c r="J20" i="4"/>
  <c r="H23" i="4"/>
  <c r="B23" i="4"/>
  <c r="B14" i="3"/>
  <c r="L11" i="2"/>
  <c r="K23" i="4"/>
  <c r="E24" i="4"/>
  <c r="F16" i="4"/>
  <c r="H24" i="4"/>
  <c r="C14" i="3"/>
  <c r="H6" i="2"/>
  <c r="H19" i="2" s="1"/>
  <c r="F6" i="2"/>
  <c r="F19" i="2" s="1"/>
  <c r="D23" i="4"/>
  <c r="G24" i="4"/>
  <c r="D24" i="4"/>
  <c r="J23" i="4"/>
  <c r="E23" i="4"/>
  <c r="G23" i="4"/>
  <c r="C23" i="4"/>
  <c r="I23" i="4"/>
  <c r="F23" i="4"/>
  <c r="I24" i="4"/>
  <c r="I14" i="2"/>
  <c r="K25" i="2" s="1"/>
  <c r="M25" i="2" s="1"/>
  <c r="M14" i="2" s="1"/>
  <c r="G14" i="2"/>
  <c r="F14" i="2"/>
  <c r="K24" i="2"/>
  <c r="B6" i="2"/>
  <c r="B19" i="2" s="1"/>
  <c r="I23" i="2"/>
  <c r="H13" i="2"/>
  <c r="H14" i="2" s="1"/>
  <c r="I25" i="2" s="1"/>
  <c r="H23" i="2"/>
  <c r="I24" i="2" l="1"/>
  <c r="M24" i="2"/>
  <c r="M6" i="2" s="1"/>
  <c r="M8" i="2"/>
  <c r="H24" i="2"/>
  <c r="N24" i="2" s="1"/>
  <c r="N11" i="2"/>
  <c r="M10" i="2"/>
  <c r="M12" i="2" s="1"/>
  <c r="M13" i="2" s="1"/>
  <c r="M15" i="2" s="1"/>
  <c r="M5" i="2"/>
  <c r="H25" i="2"/>
  <c r="J25" i="2"/>
  <c r="N23" i="2"/>
  <c r="N4" i="2" s="1"/>
  <c r="N25" i="2" l="1"/>
  <c r="N14" i="2" s="1"/>
  <c r="N6" i="2"/>
  <c r="N10" i="2" s="1"/>
  <c r="N12" i="2" s="1"/>
  <c r="N13" i="2" s="1"/>
  <c r="N15" i="2" s="1"/>
  <c r="N5" i="2"/>
</calcChain>
</file>

<file path=xl/sharedStrings.xml><?xml version="1.0" encoding="utf-8"?>
<sst xmlns="http://schemas.openxmlformats.org/spreadsheetml/2006/main" count="435" uniqueCount="95">
  <si>
    <t>Price to Earning</t>
  </si>
  <si>
    <t>OPM</t>
  </si>
  <si>
    <t>Sales Growth</t>
  </si>
  <si>
    <t>WORST</t>
  </si>
  <si>
    <t>BEST</t>
  </si>
  <si>
    <t>RECENT</t>
  </si>
  <si>
    <t>3 YEARS</t>
  </si>
  <si>
    <t>5 YEARS</t>
  </si>
  <si>
    <t>7 YEARS</t>
  </si>
  <si>
    <t>10 YEARS</t>
  </si>
  <si>
    <t>TRENDS:</t>
  </si>
  <si>
    <t>Dividend Payout</t>
  </si>
  <si>
    <t>RATIOS:</t>
  </si>
  <si>
    <t>Price</t>
  </si>
  <si>
    <t>Price to earning</t>
  </si>
  <si>
    <t>EPS</t>
  </si>
  <si>
    <t>Net profit</t>
  </si>
  <si>
    <t>Tax</t>
  </si>
  <si>
    <t>Profit before tax</t>
  </si>
  <si>
    <t>Interest</t>
  </si>
  <si>
    <t>Depreciation</t>
  </si>
  <si>
    <t>Other Income</t>
  </si>
  <si>
    <t>Operating Profit</t>
  </si>
  <si>
    <t>Expenses</t>
  </si>
  <si>
    <t>Sales</t>
  </si>
  <si>
    <t>Worst Case</t>
  </si>
  <si>
    <t>Best Case</t>
  </si>
  <si>
    <t>Trailing</t>
  </si>
  <si>
    <t>Narration</t>
  </si>
  <si>
    <t>SCREENER.IN</t>
  </si>
  <si>
    <t>Return on Capital Emp</t>
  </si>
  <si>
    <t>Return on Equity</t>
  </si>
  <si>
    <t>Inventory Turnover</t>
  </si>
  <si>
    <t>Debtor Days</t>
  </si>
  <si>
    <t>Inventory</t>
  </si>
  <si>
    <t>Debtors</t>
  </si>
  <si>
    <t>Working Capital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</si>
  <si>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</si>
  <si>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</si>
  <si>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</si>
  <si>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</si>
  <si>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</si>
  <si>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</si>
  <si>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</si>
  <si>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</si>
  <si>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</si>
  <si>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Net Cash Flow</t>
  </si>
  <si>
    <t>Cash from Financing Activity</t>
  </si>
  <si>
    <t>Cash from Investing Activity</t>
  </si>
  <si>
    <t>Cash from Operating Activity</t>
  </si>
  <si>
    <r>
      <t xml:space="preserve">You can report any formula errors on the worksheet at: </t>
    </r>
    <r>
      <rPr>
        <b/>
        <sz val="11"/>
        <color theme="1"/>
        <rFont val="Aptos Narrow"/>
        <family val="2"/>
        <scheme val="minor"/>
      </rPr>
      <t>support@screener.in</t>
    </r>
  </si>
  <si>
    <t>This is a testing feature currently.</t>
  </si>
  <si>
    <t>TESTING:</t>
  </si>
  <si>
    <t>Now whenever you will "Export to excel" from Screener, it will export your customized file.</t>
  </si>
  <si>
    <t>Download your customized workbooks now onwards.</t>
  </si>
  <si>
    <t xml:space="preserve"> https://www.screener.in/excel/</t>
  </si>
  <si>
    <t>Upload on:</t>
  </si>
  <si>
    <t>After customization, you can upload this back on Screener.</t>
  </si>
  <si>
    <t>Please don't edit the "Data Sheet" only.</t>
  </si>
  <si>
    <t>You can add custom formating, add conditional formating, add your own formulas… do ANYTHING.</t>
  </si>
  <si>
    <t>You can customize this workbook as you want.</t>
  </si>
  <si>
    <t>How to use it?</t>
  </si>
  <si>
    <t>Adjusted Equity Shares in Cr</t>
  </si>
  <si>
    <t>DERIVED:</t>
  </si>
  <si>
    <t>PRICE:</t>
  </si>
  <si>
    <t>Report Date</t>
  </si>
  <si>
    <t>CASH FLOW:</t>
  </si>
  <si>
    <t>Face value</t>
  </si>
  <si>
    <t>New Bonus Shares</t>
  </si>
  <si>
    <t>No. of Equity Shares</t>
  </si>
  <si>
    <t>Cash &amp; Bank</t>
  </si>
  <si>
    <t>Receivables</t>
  </si>
  <si>
    <t>BALANCE SHEET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</si>
  <si>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</si>
  <si>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</si>
  <si>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</si>
  <si>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</si>
  <si>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</si>
  <si>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</si>
  <si>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</si>
  <si>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</si>
  <si>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</si>
  <si>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</si>
  <si>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</si>
  <si>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</si>
  <si>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</si>
  <si>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</si>
  <si>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</si>
  <si>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</si>
  <si>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</si>
  <si>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</si>
  <si>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BAJAJ FINSERV LTD</t>
  </si>
  <si>
    <t>COMPANY NAME</t>
  </si>
  <si>
    <t>L&amp;T FINANCE LTD</t>
  </si>
  <si>
    <t>MUTHOOT FINANCE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</si>
</sst>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mmm\-yy;@"/>
    <numFmt numFmtId="165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Calibri"/>
      <family val="2"/>
    </font>
    <font>
      <b/>
      <u/>
      <sz val="11"/>
      <color theme="10"/>
      <name val="Calibri"/>
      <family val="2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43" fontId="3" fillId="0" borderId="0" xfId="1" applyFont="1" applyBorder="1"/>
    <xf numFmtId="43" fontId="1" fillId="0" borderId="0" xfId="1" applyFont="1" applyBorder="1"/>
    <xf numFmtId="10" fontId="3" fillId="0" borderId="0" xfId="0" applyNumberFormat="1" applyFont="1"/>
    <xf numFmtId="10" fontId="0" fillId="0" borderId="0" xfId="0" applyNumberFormat="1"/>
    <xf numFmtId="0" fontId="3" fillId="0" borderId="0" xfId="0" applyFont="1"/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/>
    <xf numFmtId="43" fontId="2" fillId="3" borderId="0" xfId="4" applyNumberFormat="1" applyFont="1" applyBorder="1"/>
    <xf numFmtId="43" fontId="2" fillId="2" borderId="0" xfId="5" applyNumberFormat="1" applyFont="1" applyBorder="1"/>
    <xf numFmtId="9" fontId="1" fillId="0" borderId="0" xfId="1" applyNumberFormat="1" applyFont="1" applyBorder="1"/>
    <xf numFmtId="0" fontId="5" fillId="0" borderId="0" xfId="0" applyFont="1"/>
    <xf numFmtId="0" fontId="6" fillId="0" borderId="0" xfId="0" applyFont="1"/>
    <xf numFmtId="9" fontId="3" fillId="0" borderId="0" xfId="2" applyFont="1" applyBorder="1"/>
    <xf numFmtId="43" fontId="0" fillId="0" borderId="0" xfId="1" applyFont="1" applyBorder="1"/>
    <xf numFmtId="43" fontId="0" fillId="0" borderId="0" xfId="1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0" fontId="0" fillId="0" borderId="0" xfId="0" applyAlignment="1">
      <alignment horizontal="left"/>
    </xf>
    <xf numFmtId="0" fontId="8" fillId="0" borderId="0" xfId="6" applyFont="1" applyBorder="1" applyAlignment="1" applyProtection="1"/>
    <xf numFmtId="0" fontId="8" fillId="0" borderId="0" xfId="6" applyFont="1" applyBorder="1" applyAlignment="1" applyProtection="1">
      <alignment horizontal="left"/>
    </xf>
    <xf numFmtId="0" fontId="9" fillId="0" borderId="0" xfId="0" applyFont="1"/>
    <xf numFmtId="165" fontId="0" fillId="0" borderId="0" xfId="1" applyNumberFormat="1" applyFont="1" applyBorder="1"/>
    <xf numFmtId="164" fontId="6" fillId="0" borderId="0" xfId="1" applyNumberFormat="1" applyFont="1" applyFill="1" applyBorder="1"/>
    <xf numFmtId="164" fontId="2" fillId="5" borderId="0" xfId="1" applyNumberFormat="1" applyFont="1" applyFill="1" applyBorder="1"/>
    <xf numFmtId="43" fontId="2" fillId="4" borderId="0" xfId="3" applyNumberFormat="1" applyFont="1" applyBorder="1" applyAlignment="1">
      <alignment horizontal="center"/>
    </xf>
    <xf numFmtId="43" fontId="7" fillId="0" borderId="0" xfId="6" applyNumberFormat="1" applyBorder="1" applyAlignment="1" applyProtection="1">
      <alignment horizontal="center"/>
    </xf>
  </cellXfs>
  <cellStyles count="7">
    <cellStyle name="60% - Accent1 2" xfId="5" xr:uid="{800FDA5D-194A-47C4-9906-C780A0305516}"/>
    <cellStyle name="60% - Accent3 2" xfId="4" xr:uid="{5126A454-9EC5-4024-9E6C-A87C61BD2A6F}"/>
    <cellStyle name="Accent6" xfId="3" builtinId="49"/>
    <cellStyle name="Comma" xfId="1" builtinId="3"/>
    <cellStyle name="Hyperlink 2" xfId="6" xr:uid="{2A3F3D38-25E0-459A-9A6B-D14971127245}"/>
    <cellStyle name="Normal" xfId="0" builtinId="0"/>
    <cellStyle name="Percent" xfId="2" builtinId="5"/>
  </cellStyles>
  <dxfs count="93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84A3F-DE8A-40E1-9536-CBDDFCD51104}" name="Annual" displayName="Annual" ref="A3:N19" headerRowCount="0" totalsRowShown="0" headerRowDxfId="92">
  <tableColumns count="14">
    <tableColumn id="1" xr3:uid="{00000000-0010-0000-0000-000001000000}" name="Column1" headerRowDxfId="91" dataDxfId="90"/>
    <tableColumn id="2" xr3:uid="{00000000-0010-0000-0000-000002000000}" name="Column2" headerRowDxfId="89"/>
    <tableColumn id="3" xr3:uid="{00000000-0010-0000-0000-000003000000}" name="Column3" headerRowDxfId="88"/>
    <tableColumn id="4" xr3:uid="{00000000-0010-0000-0000-000004000000}" name="Column4" headerRowDxfId="87"/>
    <tableColumn id="5" xr3:uid="{00000000-0010-0000-0000-000005000000}" name="Column5" headerRowDxfId="86"/>
    <tableColumn id="6" xr3:uid="{00000000-0010-0000-0000-000006000000}" name="Column6" headerRowDxfId="85"/>
    <tableColumn id="7" xr3:uid="{00000000-0010-0000-0000-000007000000}" name="Column7" headerRowDxfId="84"/>
    <tableColumn id="8" xr3:uid="{00000000-0010-0000-0000-000008000000}" name="Column8" headerRowDxfId="83"/>
    <tableColumn id="9" xr3:uid="{00000000-0010-0000-0000-000009000000}" name="Column9" headerRowDxfId="82"/>
    <tableColumn id="10" xr3:uid="{00000000-0010-0000-0000-00000A000000}" name="Column10" headerRowDxfId="81"/>
    <tableColumn id="11" xr3:uid="{00000000-0010-0000-0000-00000B000000}" name="Column11" headerRowDxfId="80"/>
    <tableColumn id="12" xr3:uid="{00000000-0010-0000-0000-00000C000000}" name="Column12" headerRowDxfId="79"/>
    <tableColumn id="13" xr3:uid="{00000000-0010-0000-0000-00000D000000}" name="Column13" headerRowDxfId="78" dataDxfId="77"/>
    <tableColumn id="14" xr3:uid="{00000000-0010-0000-0000-00000E000000}" name="Column14" headerRowDxfId="76" dataDxfId="75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6E009-572C-431B-B21F-2E782ADED953}" name="Quarters" displayName="Quarters" ref="A3:K14" headerRowCount="0" totalsRowShown="0" headerRowDxfId="74">
  <tableColumns count="11">
    <tableColumn id="1" xr3:uid="{00000000-0010-0000-0100-000001000000}" name="Column1" headerRowDxfId="73"/>
    <tableColumn id="2" xr3:uid="{00000000-0010-0000-0100-000002000000}" name="Column2" headerRowDxfId="72"/>
    <tableColumn id="3" xr3:uid="{00000000-0010-0000-0100-000003000000}" name="Column3" headerRowDxfId="71"/>
    <tableColumn id="4" xr3:uid="{00000000-0010-0000-0100-000004000000}" name="Column4" headerRowDxfId="70"/>
    <tableColumn id="5" xr3:uid="{00000000-0010-0000-0100-000005000000}" name="Column5" headerRowDxfId="69"/>
    <tableColumn id="6" xr3:uid="{00000000-0010-0000-0100-000006000000}" name="Column6" headerRowDxfId="68"/>
    <tableColumn id="7" xr3:uid="{00000000-0010-0000-0100-000007000000}" name="Column7" headerRowDxfId="67"/>
    <tableColumn id="8" xr3:uid="{00000000-0010-0000-0100-000008000000}" name="Column8" headerRowDxfId="66"/>
    <tableColumn id="9" xr3:uid="{00000000-0010-0000-0100-000009000000}" name="Column9" headerRowDxfId="65"/>
    <tableColumn id="10" xr3:uid="{00000000-0010-0000-0100-00000A000000}" name="Column10" headerRowDxfId="64"/>
    <tableColumn id="11" xr3:uid="{00000000-0010-0000-0100-00000B000000}" name="Column11" headerRowDxfId="63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FF72DA-6520-4BBD-9490-49CE1127725A}" name="Annual4" displayName="Annual4" ref="A3:N19" headerRowCount="0" totalsRowShown="0" headerRowDxfId="62">
  <tableColumns count="14">
    <tableColumn id="1" xr3:uid="{00000000-0010-0000-0000-000001000000}" name="Column1" headerRowDxfId="61" dataDxfId="60"/>
    <tableColumn id="2" xr3:uid="{00000000-0010-0000-0000-000002000000}" name="Column2" headerRowDxfId="59"/>
    <tableColumn id="3" xr3:uid="{00000000-0010-0000-0000-000003000000}" name="Column3" headerRowDxfId="58"/>
    <tableColumn id="4" xr3:uid="{00000000-0010-0000-0000-000004000000}" name="Column4" headerRowDxfId="57"/>
    <tableColumn id="5" xr3:uid="{00000000-0010-0000-0000-000005000000}" name="Column5" headerRowDxfId="56"/>
    <tableColumn id="6" xr3:uid="{00000000-0010-0000-0000-000006000000}" name="Column6" headerRowDxfId="55"/>
    <tableColumn id="7" xr3:uid="{00000000-0010-0000-0000-000007000000}" name="Column7" headerRowDxfId="54"/>
    <tableColumn id="8" xr3:uid="{00000000-0010-0000-0000-000008000000}" name="Column8" headerRowDxfId="53"/>
    <tableColumn id="9" xr3:uid="{00000000-0010-0000-0000-000009000000}" name="Column9" headerRowDxfId="52"/>
    <tableColumn id="10" xr3:uid="{00000000-0010-0000-0000-00000A000000}" name="Column10" headerRowDxfId="51"/>
    <tableColumn id="11" xr3:uid="{00000000-0010-0000-0000-00000B000000}" name="Column11" headerRowDxfId="50"/>
    <tableColumn id="12" xr3:uid="{00000000-0010-0000-0000-00000C000000}" name="Column12" headerRowDxfId="49"/>
    <tableColumn id="13" xr3:uid="{00000000-0010-0000-0000-00000D000000}" name="Column13" headerRowDxfId="48" dataDxfId="47"/>
    <tableColumn id="14" xr3:uid="{00000000-0010-0000-0000-00000E000000}" name="Column14" headerRowDxfId="46" dataDxfId="45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247FA5-68A0-402F-9A46-C14EA5DF6987}" name="Quarters5" displayName="Quarters5" ref="A3:K14" headerRowCount="0" totalsRowShown="0" headerRowDxfId="44">
  <tableColumns count="11">
    <tableColumn id="1" xr3:uid="{00000000-0010-0000-0100-000001000000}" name="Column1" headerRowDxfId="43"/>
    <tableColumn id="2" xr3:uid="{00000000-0010-0000-0100-000002000000}" name="Column2" headerRowDxfId="42"/>
    <tableColumn id="3" xr3:uid="{00000000-0010-0000-0100-000003000000}" name="Column3" headerRowDxfId="41"/>
    <tableColumn id="4" xr3:uid="{00000000-0010-0000-0100-000004000000}" name="Column4" headerRowDxfId="40"/>
    <tableColumn id="5" xr3:uid="{00000000-0010-0000-0100-000005000000}" name="Column5" headerRowDxfId="39"/>
    <tableColumn id="6" xr3:uid="{00000000-0010-0000-0100-000006000000}" name="Column6" headerRowDxfId="38"/>
    <tableColumn id="7" xr3:uid="{00000000-0010-0000-0100-000007000000}" name="Column7" headerRowDxfId="37"/>
    <tableColumn id="8" xr3:uid="{00000000-0010-0000-0100-000008000000}" name="Column8" headerRowDxfId="36"/>
    <tableColumn id="9" xr3:uid="{00000000-0010-0000-0100-000009000000}" name="Column9" headerRowDxfId="35"/>
    <tableColumn id="10" xr3:uid="{00000000-0010-0000-0100-00000A000000}" name="Column10" headerRowDxfId="34"/>
    <tableColumn id="11" xr3:uid="{00000000-0010-0000-0100-00000B000000}" name="Column11" headerRowDxfId="33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0C7745-F0E0-43ED-89FA-9E5CB5944B8B}" name="Annual6" displayName="Annual6" ref="A3:N19" headerRowCount="0" totalsRowShown="0" headerRowDxfId="32">
  <tableColumns count="14">
    <tableColumn id="1" xr3:uid="{00000000-0010-0000-0000-000001000000}" name="Column1" headerRowDxfId="31" dataDxfId="30"/>
    <tableColumn id="2" xr3:uid="{00000000-0010-0000-0000-000002000000}" name="Column2" headerRowDxfId="29"/>
    <tableColumn id="3" xr3:uid="{00000000-0010-0000-0000-000003000000}" name="Column3" headerRowDxfId="28"/>
    <tableColumn id="4" xr3:uid="{00000000-0010-0000-0000-000004000000}" name="Column4" headerRowDxfId="27"/>
    <tableColumn id="5" xr3:uid="{00000000-0010-0000-0000-000005000000}" name="Column5" headerRowDxfId="26"/>
    <tableColumn id="6" xr3:uid="{00000000-0010-0000-0000-000006000000}" name="Column6" headerRowDxfId="25"/>
    <tableColumn id="7" xr3:uid="{00000000-0010-0000-0000-000007000000}" name="Column7" headerRowDxfId="24"/>
    <tableColumn id="8" xr3:uid="{00000000-0010-0000-0000-000008000000}" name="Column8" headerRowDxfId="23"/>
    <tableColumn id="9" xr3:uid="{00000000-0010-0000-0000-000009000000}" name="Column9" headerRowDxfId="22"/>
    <tableColumn id="10" xr3:uid="{00000000-0010-0000-0000-00000A000000}" name="Column10" headerRowDxfId="21"/>
    <tableColumn id="11" xr3:uid="{00000000-0010-0000-0000-00000B000000}" name="Column11" headerRowDxfId="20"/>
    <tableColumn id="12" xr3:uid="{00000000-0010-0000-0000-00000C000000}" name="Column12" headerRowDxfId="19"/>
    <tableColumn id="13" xr3:uid="{00000000-0010-0000-0000-00000D000000}" name="Column13" headerRowDxfId="18" dataDxfId="17"/>
    <tableColumn id="14" xr3:uid="{00000000-0010-0000-0000-00000E000000}" name="Column14" headerRowDxfId="16" dataDxfId="15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2F53BA-ECAE-4E18-9967-A0DDE9C0A2A6}" name="Quarters7" displayName="Quarters7" ref="A3:K14" headerRowCount="0" totalsRowShown="0" headerRowDxfId="14">
  <tableColumns count="11">
    <tableColumn id="1" xr3:uid="{00000000-0010-0000-0100-000001000000}" name="Column1" headerRowDxfId="13"/>
    <tableColumn id="2" xr3:uid="{00000000-0010-0000-0100-000002000000}" name="Column2" headerRowDxfId="12"/>
    <tableColumn id="3" xr3:uid="{00000000-0010-0000-0100-000003000000}" name="Column3" headerRowDxfId="11"/>
    <tableColumn id="4" xr3:uid="{00000000-0010-0000-0100-000004000000}" name="Column4" headerRowDxfId="10"/>
    <tableColumn id="5" xr3:uid="{00000000-0010-0000-0100-000005000000}" name="Column5" headerRowDxfId="9"/>
    <tableColumn id="6" xr3:uid="{00000000-0010-0000-0100-000006000000}" name="Column6" headerRowDxfId="8"/>
    <tableColumn id="7" xr3:uid="{00000000-0010-0000-0100-000007000000}" name="Column7" headerRowDxfId="7"/>
    <tableColumn id="8" xr3:uid="{00000000-0010-0000-0100-000008000000}" name="Column8" headerRowDxfId="6"/>
    <tableColumn id="9" xr3:uid="{00000000-0010-0000-0100-000009000000}" name="Column9" headerRowDxfId="5"/>
    <tableColumn id="10" xr3:uid="{00000000-0010-0000-0100-00000A000000}" name="Column10" headerRowDxfId="4"/>
    <tableColumn id="11" xr3:uid="{00000000-0010-0000-0100-00000B000000}" name="Column11" headerRowDxfId="3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screener.in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screener.in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screener.in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screener.in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screener.in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8D73-66D4-48D3-8136-4AC3822BE0AA}">
  <sheetPr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5" customFormat="1" x14ac:dyDescent="0.3">
      <c r="A1" s="5" t="str">
        <f>'Data Sheet'!B1</f>
        <v>BAJAJ FINSERV LTD</v>
      </c>
      <c r="H1" t="str">
        <f>UPDATE</f>
        <v/>
      </c>
      <c r="J1" s="12"/>
      <c r="K1" s="12"/>
      <c r="M1" s="5" t="s">
        <v>29</v>
      </c>
    </row>
    <row r="3" spans="1:14" s="5" customFormat="1" x14ac:dyDescent="0.3">
      <c r="A3" s="8" t="s">
        <v>28</v>
      </c>
      <c r="B3" s="7">
        <f>'Data Sheet'!B16</f>
        <v>42825</v>
      </c>
      <c r="C3" s="7">
        <f>'Data Sheet'!C16</f>
        <v>43190</v>
      </c>
      <c r="D3" s="7">
        <f>'Data Sheet'!D16</f>
        <v>43555</v>
      </c>
      <c r="E3" s="7">
        <f>'Data Sheet'!E16</f>
        <v>43921</v>
      </c>
      <c r="F3" s="7">
        <f>'Data Sheet'!F16</f>
        <v>44286</v>
      </c>
      <c r="G3" s="7">
        <f>'Data Sheet'!G16</f>
        <v>44651</v>
      </c>
      <c r="H3" s="7">
        <f>'Data Sheet'!H16</f>
        <v>45016</v>
      </c>
      <c r="I3" s="7">
        <f>'Data Sheet'!I16</f>
        <v>45382</v>
      </c>
      <c r="J3" s="7">
        <f>'Data Sheet'!J16</f>
        <v>45747</v>
      </c>
      <c r="K3" s="7">
        <f>'Data Sheet'!K16</f>
        <v>46112</v>
      </c>
      <c r="L3" s="6" t="s">
        <v>27</v>
      </c>
      <c r="M3" s="6" t="s">
        <v>26</v>
      </c>
      <c r="N3" s="6" t="s">
        <v>25</v>
      </c>
    </row>
    <row r="4" spans="1:14" s="5" customFormat="1" x14ac:dyDescent="0.3">
      <c r="A4" s="5" t="s">
        <v>24</v>
      </c>
      <c r="B4" s="1">
        <f>'Data Sheet'!B17</f>
        <v>24507.3</v>
      </c>
      <c r="C4" s="1">
        <f>'Data Sheet'!C17</f>
        <v>32862.46</v>
      </c>
      <c r="D4" s="1">
        <f>'Data Sheet'!D17</f>
        <v>42605.4</v>
      </c>
      <c r="E4" s="1">
        <f>'Data Sheet'!E17</f>
        <v>54351.37</v>
      </c>
      <c r="F4" s="1">
        <f>'Data Sheet'!F17</f>
        <v>60591.519999999997</v>
      </c>
      <c r="G4" s="1">
        <f>'Data Sheet'!G17</f>
        <v>68406.28</v>
      </c>
      <c r="H4" s="1">
        <f>'Data Sheet'!H17</f>
        <v>82071.7</v>
      </c>
      <c r="I4" s="1">
        <f>'Data Sheet'!I17</f>
        <v>110382.29</v>
      </c>
      <c r="J4" s="1">
        <f>'Data Sheet'!J17</f>
        <v>132944.32000000001</v>
      </c>
      <c r="K4" s="1">
        <f>'Data Sheet'!K17</f>
        <v>150530.32</v>
      </c>
      <c r="L4" s="1">
        <f>SUM(Quarters!H4:K4)</f>
        <v>157641.68</v>
      </c>
      <c r="M4" s="1">
        <f>$K4+M23*K4</f>
        <v>184261.31662071036</v>
      </c>
      <c r="N4" s="1">
        <f>$K4+N23*L4</f>
        <v>171383.31006742071</v>
      </c>
    </row>
    <row r="5" spans="1:14" x14ac:dyDescent="0.3">
      <c r="A5" t="s">
        <v>23</v>
      </c>
      <c r="B5" s="2">
        <f>SUM('Data Sheet'!B18,'Data Sheet'!B20:B24, -1*'Data Sheet'!B19)</f>
        <v>15794.02</v>
      </c>
      <c r="C5" s="2">
        <f>SUM('Data Sheet'!C18,'Data Sheet'!C20:C24, -1*'Data Sheet'!C19)</f>
        <v>22074.35</v>
      </c>
      <c r="D5" s="2">
        <f>SUM('Data Sheet'!D18,'Data Sheet'!D20:D24, -1*'Data Sheet'!D19)</f>
        <v>27568.7</v>
      </c>
      <c r="E5" s="2">
        <f>SUM('Data Sheet'!E18,'Data Sheet'!E20:E24, -1*'Data Sheet'!E19)</f>
        <v>36093.67</v>
      </c>
      <c r="F5" s="2">
        <f>SUM('Data Sheet'!F18,'Data Sheet'!F20:F24, -1*'Data Sheet'!F19)</f>
        <v>40950.230000000003</v>
      </c>
      <c r="G5" s="2">
        <f>SUM('Data Sheet'!G18,'Data Sheet'!G20:G24, -1*'Data Sheet'!G19)</f>
        <v>46951.37</v>
      </c>
      <c r="H5" s="2">
        <f>SUM('Data Sheet'!H18,'Data Sheet'!H20:H24, -1*'Data Sheet'!H19)</f>
        <v>52203.97</v>
      </c>
      <c r="I5" s="2">
        <f>SUM('Data Sheet'!I18,'Data Sheet'!I20:I24, -1*'Data Sheet'!I19)</f>
        <v>69496.739999999991</v>
      </c>
      <c r="J5" s="2">
        <f>SUM('Data Sheet'!J18,'Data Sheet'!J20:J24, -1*'Data Sheet'!J19)</f>
        <v>83420.12</v>
      </c>
      <c r="K5" s="2">
        <f>SUM('Data Sheet'!K18,'Data Sheet'!K20:K24, -1*'Data Sheet'!K19)</f>
        <v>93432.6</v>
      </c>
      <c r="L5" s="2">
        <f>SUM(Quarters!H5:K5)</f>
        <v>98073.550000000017</v>
      </c>
      <c r="M5" s="2">
        <f>M4-M6</f>
        <v>114634.41298435203</v>
      </c>
      <c r="N5" s="2">
        <f>N4-N6</f>
        <v>110151.18930639276</v>
      </c>
    </row>
    <row r="6" spans="1:14" s="5" customFormat="1" x14ac:dyDescent="0.3">
      <c r="A6" s="5" t="s">
        <v>22</v>
      </c>
      <c r="B6" s="1">
        <f>B4-B5</f>
        <v>8713.2799999999988</v>
      </c>
      <c r="C6" s="1">
        <f>C4-C5</f>
        <v>10788.11</v>
      </c>
      <c r="D6" s="1">
        <f>D4-D5</f>
        <v>15036.7</v>
      </c>
      <c r="E6" s="1">
        <f>E4-E5</f>
        <v>18257.700000000004</v>
      </c>
      <c r="F6" s="1">
        <f>F4-F5</f>
        <v>19641.289999999994</v>
      </c>
      <c r="G6" s="1">
        <f>G4-G5</f>
        <v>21454.909999999996</v>
      </c>
      <c r="H6" s="1">
        <f>H4-H5</f>
        <v>29867.729999999996</v>
      </c>
      <c r="I6" s="1">
        <f>I4-I5</f>
        <v>40885.550000000003</v>
      </c>
      <c r="J6" s="1">
        <f>J4-J5</f>
        <v>49524.200000000012</v>
      </c>
      <c r="K6" s="1">
        <f>K4-K5</f>
        <v>57097.72</v>
      </c>
      <c r="L6" s="1">
        <f>SUM(Quarters!H6:K6)</f>
        <v>59568.130000000005</v>
      </c>
      <c r="M6" s="1">
        <f>M4*M24</f>
        <v>69626.903636358329</v>
      </c>
      <c r="N6" s="1">
        <f>N4*N24</f>
        <v>61232.120761027953</v>
      </c>
    </row>
    <row r="7" spans="1:14" x14ac:dyDescent="0.3">
      <c r="A7" t="s">
        <v>21</v>
      </c>
      <c r="B7" s="2">
        <f>'Data Sheet'!B25</f>
        <v>0.16</v>
      </c>
      <c r="C7" s="2">
        <f>'Data Sheet'!C25</f>
        <v>1.49</v>
      </c>
      <c r="D7" s="2">
        <f>'Data Sheet'!D25</f>
        <v>1.53</v>
      </c>
      <c r="E7" s="2">
        <f>'Data Sheet'!E25</f>
        <v>0.36</v>
      </c>
      <c r="F7" s="2">
        <f>'Data Sheet'!F25</f>
        <v>-6.87</v>
      </c>
      <c r="G7" s="2">
        <f>'Data Sheet'!G25</f>
        <v>7.86</v>
      </c>
      <c r="H7" s="2">
        <f>'Data Sheet'!H25</f>
        <v>1.46</v>
      </c>
      <c r="I7" s="2">
        <f>'Data Sheet'!I25</f>
        <v>-3.86</v>
      </c>
      <c r="J7" s="2">
        <f>'Data Sheet'!J25</f>
        <v>-18.350000000000001</v>
      </c>
      <c r="K7" s="2">
        <f>'Data Sheet'!K25</f>
        <v>-382.27</v>
      </c>
      <c r="L7" s="2">
        <f>SUM(Quarters!H7:K7)</f>
        <v>-344.19</v>
      </c>
      <c r="M7" s="2">
        <v>0</v>
      </c>
      <c r="N7" s="2">
        <v>0</v>
      </c>
    </row>
    <row r="8" spans="1:14" x14ac:dyDescent="0.3">
      <c r="A8" t="s">
        <v>20</v>
      </c>
      <c r="B8" s="2">
        <f>'Data Sheet'!B26</f>
        <v>72.63</v>
      </c>
      <c r="C8" s="2">
        <f>'Data Sheet'!C26</f>
        <v>159.88999999999999</v>
      </c>
      <c r="D8" s="2">
        <f>'Data Sheet'!D26</f>
        <v>226.09</v>
      </c>
      <c r="E8" s="2">
        <f>'Data Sheet'!E26</f>
        <v>456.79</v>
      </c>
      <c r="F8" s="2">
        <f>'Data Sheet'!F26</f>
        <v>498.46</v>
      </c>
      <c r="G8" s="2">
        <f>'Data Sheet'!G26</f>
        <v>562.73</v>
      </c>
      <c r="H8" s="2">
        <f>'Data Sheet'!H26</f>
        <v>677.8</v>
      </c>
      <c r="I8" s="2">
        <f>'Data Sheet'!I26</f>
        <v>900.13</v>
      </c>
      <c r="J8" s="2">
        <f>'Data Sheet'!J26</f>
        <v>1170.32</v>
      </c>
      <c r="K8" s="2">
        <f>'Data Sheet'!K26</f>
        <v>1291.3599999999999</v>
      </c>
      <c r="L8" s="2">
        <f>SUM(Quarters!H8:K8)</f>
        <v>1353.71</v>
      </c>
      <c r="M8" s="2">
        <f>+$L8</f>
        <v>1353.71</v>
      </c>
      <c r="N8" s="2">
        <f>+$L8</f>
        <v>1353.71</v>
      </c>
    </row>
    <row r="9" spans="1:14" x14ac:dyDescent="0.3">
      <c r="A9" t="s">
        <v>19</v>
      </c>
      <c r="B9" s="2">
        <f>'Data Sheet'!B27</f>
        <v>3716.28</v>
      </c>
      <c r="C9" s="2">
        <f>'Data Sheet'!C27</f>
        <v>4531</v>
      </c>
      <c r="D9" s="2">
        <f>'Data Sheet'!D27</f>
        <v>6657.4</v>
      </c>
      <c r="E9" s="2">
        <f>'Data Sheet'!E27</f>
        <v>9499.61</v>
      </c>
      <c r="F9" s="2">
        <f>'Data Sheet'!F27</f>
        <v>9273.6200000000008</v>
      </c>
      <c r="G9" s="2">
        <f>'Data Sheet'!G27</f>
        <v>9629.4599999999991</v>
      </c>
      <c r="H9" s="2">
        <f>'Data Sheet'!H27</f>
        <v>12380.26</v>
      </c>
      <c r="I9" s="2">
        <f>'Data Sheet'!I27</f>
        <v>18606.53</v>
      </c>
      <c r="J9" s="2">
        <f>'Data Sheet'!J27</f>
        <v>24587.32</v>
      </c>
      <c r="K9" s="2">
        <f>'Data Sheet'!K27</f>
        <v>28540.94</v>
      </c>
      <c r="L9" s="2">
        <f>SUM(Quarters!H9:K9)</f>
        <v>29258.53</v>
      </c>
      <c r="M9" s="2">
        <f>+$L9</f>
        <v>29258.53</v>
      </c>
      <c r="N9" s="2">
        <f>+$L9</f>
        <v>29258.53</v>
      </c>
    </row>
    <row r="10" spans="1:14" x14ac:dyDescent="0.3">
      <c r="A10" t="s">
        <v>18</v>
      </c>
      <c r="B10" s="2">
        <f>'Data Sheet'!B28</f>
        <v>4924.53</v>
      </c>
      <c r="C10" s="2">
        <f>'Data Sheet'!C28</f>
        <v>6098.71</v>
      </c>
      <c r="D10" s="2">
        <f>'Data Sheet'!D28</f>
        <v>8154.74</v>
      </c>
      <c r="E10" s="2">
        <f>'Data Sheet'!E28</f>
        <v>8301.66</v>
      </c>
      <c r="F10" s="2">
        <f>'Data Sheet'!F28</f>
        <v>9862.34</v>
      </c>
      <c r="G10" s="2">
        <f>'Data Sheet'!G28</f>
        <v>11270.58</v>
      </c>
      <c r="H10" s="2">
        <f>'Data Sheet'!H28</f>
        <v>16811.13</v>
      </c>
      <c r="I10" s="2">
        <f>'Data Sheet'!I28</f>
        <v>21375.03</v>
      </c>
      <c r="J10" s="2">
        <f>'Data Sheet'!J28</f>
        <v>23748.21</v>
      </c>
      <c r="K10" s="2">
        <f>'Data Sheet'!K28</f>
        <v>26883.15</v>
      </c>
      <c r="L10" s="2">
        <f>SUM(Quarters!H10:K10)</f>
        <v>28611.700000000004</v>
      </c>
      <c r="M10" s="2">
        <f>M6+M7-SUM(M8:M9)</f>
        <v>39014.663636358331</v>
      </c>
      <c r="N10" s="2">
        <f>N6+N7-SUM(N8:N9)</f>
        <v>30619.880761027955</v>
      </c>
    </row>
    <row r="11" spans="1:14" x14ac:dyDescent="0.3">
      <c r="A11" t="s">
        <v>17</v>
      </c>
      <c r="B11" s="2">
        <f>'Data Sheet'!B29</f>
        <v>1474.82</v>
      </c>
      <c r="C11" s="2">
        <f>'Data Sheet'!C29</f>
        <v>1922.36</v>
      </c>
      <c r="D11" s="2">
        <f>'Data Sheet'!D29</f>
        <v>2780.89</v>
      </c>
      <c r="E11" s="2">
        <f>'Data Sheet'!E29</f>
        <v>2308.06</v>
      </c>
      <c r="F11" s="2">
        <f>'Data Sheet'!F29</f>
        <v>2494.96</v>
      </c>
      <c r="G11" s="2">
        <f>'Data Sheet'!G29</f>
        <v>2957.05</v>
      </c>
      <c r="H11" s="2">
        <f>'Data Sheet'!H29</f>
        <v>4601.59</v>
      </c>
      <c r="I11" s="2">
        <f>'Data Sheet'!I29</f>
        <v>5779.67</v>
      </c>
      <c r="J11" s="2">
        <f>'Data Sheet'!J29</f>
        <v>6190.57</v>
      </c>
      <c r="K11" s="2">
        <f>'Data Sheet'!K29</f>
        <v>7213.68</v>
      </c>
      <c r="L11" s="2">
        <f>SUM(Quarters!H11:K11)</f>
        <v>7974.73</v>
      </c>
      <c r="M11" s="11">
        <f>IF($L10&gt;0,$L11/$L10,0)</f>
        <v>0.27872269036792635</v>
      </c>
      <c r="N11" s="11">
        <f>IF($L10&gt;0,$L11/$L10,0)</f>
        <v>0.27872269036792635</v>
      </c>
    </row>
    <row r="12" spans="1:14" s="5" customFormat="1" x14ac:dyDescent="0.3">
      <c r="A12" s="5" t="s">
        <v>16</v>
      </c>
      <c r="B12" s="1">
        <f>'Data Sheet'!B30</f>
        <v>2261.92</v>
      </c>
      <c r="C12" s="1">
        <f>'Data Sheet'!C30</f>
        <v>2650.26</v>
      </c>
      <c r="D12" s="1">
        <f>'Data Sheet'!D30</f>
        <v>3219.04</v>
      </c>
      <c r="E12" s="1">
        <f>'Data Sheet'!E30</f>
        <v>3369.13</v>
      </c>
      <c r="F12" s="1">
        <f>'Data Sheet'!F30</f>
        <v>4470.46</v>
      </c>
      <c r="G12" s="1">
        <f>'Data Sheet'!G30</f>
        <v>4556.7700000000004</v>
      </c>
      <c r="H12" s="1">
        <f>'Data Sheet'!H30</f>
        <v>6417.28</v>
      </c>
      <c r="I12" s="1">
        <f>'Data Sheet'!I30</f>
        <v>8147.79</v>
      </c>
      <c r="J12" s="1">
        <f>'Data Sheet'!J30</f>
        <v>8872.31</v>
      </c>
      <c r="K12" s="1">
        <f>'Data Sheet'!K30</f>
        <v>9800.9699999999993</v>
      </c>
      <c r="L12" s="1">
        <f>SUM(Quarters!H12:K12)</f>
        <v>10144.27</v>
      </c>
      <c r="M12" s="1">
        <f>M10-M11*M10</f>
        <v>28140.391623832831</v>
      </c>
      <c r="N12" s="1">
        <f>N10-N11*N10</f>
        <v>22085.425216569136</v>
      </c>
    </row>
    <row r="13" spans="1:14" x14ac:dyDescent="0.3">
      <c r="A13" t="s">
        <v>15</v>
      </c>
      <c r="B13" s="2">
        <f>IF('Data Sheet'!B93&gt;0,B12/'Data Sheet'!B93,0)</f>
        <v>14.212503927112786</v>
      </c>
      <c r="C13" s="2">
        <f>IF('Data Sheet'!C93&gt;0,C12/'Data Sheet'!C93,0)</f>
        <v>16.652591894439208</v>
      </c>
      <c r="D13" s="2">
        <f>IF('Data Sheet'!D93&gt;0,D12/'Data Sheet'!D93,0)</f>
        <v>20.226453031731069</v>
      </c>
      <c r="E13" s="2">
        <f>IF('Data Sheet'!E93&gt;0,E12/'Data Sheet'!E93,0)</f>
        <v>21.169525604775369</v>
      </c>
      <c r="F13" s="2">
        <f>IF('Data Sheet'!F93&gt;0,F12/'Data Sheet'!F93,0)</f>
        <v>28.089601005340871</v>
      </c>
      <c r="G13" s="2">
        <f>IF('Data Sheet'!G93&gt;0,G12/'Data Sheet'!G93,0)</f>
        <v>28.63191957273013</v>
      </c>
      <c r="H13" s="2">
        <f>IF('Data Sheet'!H93&gt;0,H12/'Data Sheet'!H93,0)</f>
        <v>40.289301858362627</v>
      </c>
      <c r="I13" s="2">
        <f>IF('Data Sheet'!I93&gt;0,I12/'Data Sheet'!I93,0)</f>
        <v>51.067314321529295</v>
      </c>
      <c r="J13" s="2">
        <f>IF('Data Sheet'!J93&gt;0,J12/'Data Sheet'!J93,0)</f>
        <v>55.566543495960417</v>
      </c>
      <c r="K13" s="2">
        <f>IF('Data Sheet'!K93&gt;0,K12/'Data Sheet'!K93,0)</f>
        <v>61.233100087467193</v>
      </c>
      <c r="L13" s="2">
        <f>IF('Data Sheet'!$B6&gt;0,'Profit &amp; Loss'!L12/'Data Sheet'!$B6,0)</f>
        <v>63.429094261477964</v>
      </c>
      <c r="M13" s="2">
        <f>IF('Data Sheet'!$B6&gt;0,'Profit &amp; Loss'!M12/'Data Sheet'!$B6,0)</f>
        <v>175.95347450955046</v>
      </c>
      <c r="N13" s="2">
        <f>IF('Data Sheet'!$B6&gt;0,'Profit &amp; Loss'!N12/'Data Sheet'!$B6,0)</f>
        <v>138.09357576903869</v>
      </c>
    </row>
    <row r="14" spans="1:14" x14ac:dyDescent="0.3">
      <c r="A14" t="s">
        <v>14</v>
      </c>
      <c r="B14" s="2">
        <f>IF(B15&gt;0,B15/B13,"")</f>
        <v>28.836579543043076</v>
      </c>
      <c r="C14" s="2">
        <f>IF(C15&gt;0,C15/C13,"")</f>
        <v>31.055826220823615</v>
      </c>
      <c r="D14" s="2">
        <f>IF(D15&gt;0,D15/D13,"")</f>
        <v>34.791567206372093</v>
      </c>
      <c r="E14" s="2">
        <f>IF(E15&gt;0,E15/E13,"")</f>
        <v>21.687779337692518</v>
      </c>
      <c r="F14" s="2">
        <f>IF(F15&gt;0,F15/F13,"")</f>
        <v>34.420567234691738</v>
      </c>
      <c r="G14" s="2">
        <f>IF(G15&gt;0,G15/G13,"")</f>
        <v>59.585596266653788</v>
      </c>
      <c r="H14" s="2">
        <f>IF(H15&gt;0,H15/H13,"")</f>
        <v>31.435143861573753</v>
      </c>
      <c r="I14" s="2">
        <f>IF(I15&gt;0,I15/I13,"")</f>
        <v>32.189865902287615</v>
      </c>
      <c r="J14" s="2">
        <f>IF(J15&gt;0,J15/J13,"")</f>
        <v>36.125155061083305</v>
      </c>
      <c r="K14" s="2">
        <f>IF(K15&gt;0,K15/K13,"")</f>
        <v>26.648985559592575</v>
      </c>
      <c r="L14" s="2">
        <f>IF(L13&gt;0,L15/L13,0)</f>
        <v>29.205840341394698</v>
      </c>
      <c r="M14" s="2">
        <f>M25</f>
        <v>31.042461716089548</v>
      </c>
      <c r="N14" s="2">
        <f>N25</f>
        <v>29.205840341394698</v>
      </c>
    </row>
    <row r="15" spans="1:14" s="5" customFormat="1" x14ac:dyDescent="0.3">
      <c r="A15" s="5" t="s">
        <v>13</v>
      </c>
      <c r="B15" s="1">
        <f>'Data Sheet'!B90</f>
        <v>409.84</v>
      </c>
      <c r="C15" s="1">
        <f>'Data Sheet'!C90</f>
        <v>517.16</v>
      </c>
      <c r="D15" s="1">
        <f>'Data Sheet'!D90</f>
        <v>703.71</v>
      </c>
      <c r="E15" s="1">
        <f>'Data Sheet'!E90</f>
        <v>459.12</v>
      </c>
      <c r="F15" s="1">
        <f>'Data Sheet'!F90</f>
        <v>966.86</v>
      </c>
      <c r="G15" s="1">
        <f>'Data Sheet'!G90</f>
        <v>1706.05</v>
      </c>
      <c r="H15" s="1">
        <f>'Data Sheet'!H90</f>
        <v>1266.5</v>
      </c>
      <c r="I15" s="1">
        <f>'Data Sheet'!I90</f>
        <v>1643.85</v>
      </c>
      <c r="J15" s="1">
        <f>'Data Sheet'!J90</f>
        <v>2007.35</v>
      </c>
      <c r="K15" s="1">
        <f>'Data Sheet'!K90</f>
        <v>1631.8</v>
      </c>
      <c r="L15" s="1">
        <f>'Data Sheet'!B8</f>
        <v>1852.5</v>
      </c>
      <c r="M15" s="10">
        <f>M13*M14</f>
        <v>5462.0289962756588</v>
      </c>
      <c r="N15" s="9">
        <f>N13*N14</f>
        <v>4033.1389260828355</v>
      </c>
    </row>
    <row r="17" spans="1:14" s="5" customFormat="1" x14ac:dyDescent="0.3">
      <c r="A17" s="5" t="s">
        <v>12</v>
      </c>
    </row>
    <row r="18" spans="1:14" x14ac:dyDescent="0.3">
      <c r="A18" t="s">
        <v>11</v>
      </c>
      <c r="B18" s="4">
        <f>IF('Data Sheet'!B30&gt;0, 'Data Sheet'!B31/'Data Sheet'!B30, 0)</f>
        <v>1.2312548631251327E-2</v>
      </c>
      <c r="C18" s="4">
        <f>IF('Data Sheet'!C30&gt;0, 'Data Sheet'!C31/'Data Sheet'!C30, 0)</f>
        <v>1.0508402949144612E-2</v>
      </c>
      <c r="D18" s="4">
        <f>IF('Data Sheet'!D30&gt;0, 'Data Sheet'!D31/'Data Sheet'!D30, 0)</f>
        <v>1.2357721556737413E-2</v>
      </c>
      <c r="E18" s="4">
        <f>IF('Data Sheet'!E30&gt;0, 'Data Sheet'!E31/'Data Sheet'!E30, 0)</f>
        <v>2.3617373031019875E-2</v>
      </c>
      <c r="F18" s="4">
        <f>IF('Data Sheet'!F30&gt;0, 'Data Sheet'!F31/'Data Sheet'!F30, 0)</f>
        <v>1.0678990528938857E-2</v>
      </c>
      <c r="G18" s="4">
        <f>IF('Data Sheet'!G30&gt;0, 'Data Sheet'!G31/'Data Sheet'!G30, 0)</f>
        <v>1.3970422031395043E-2</v>
      </c>
      <c r="H18" s="4">
        <f>IF('Data Sheet'!H30&gt;0, 'Data Sheet'!H31/'Data Sheet'!H30, 0)</f>
        <v>1.9854206143412784E-2</v>
      </c>
      <c r="I18" s="4">
        <f>IF('Data Sheet'!I30&gt;0, 'Data Sheet'!I31/'Data Sheet'!I30, 0)</f>
        <v>1.9564814507983145E-2</v>
      </c>
      <c r="J18" s="4">
        <f>IF('Data Sheet'!J30&gt;0, 'Data Sheet'!J31/'Data Sheet'!J30, 0)</f>
        <v>1.7988550895989882E-2</v>
      </c>
      <c r="K18" s="4">
        <f>IF('Data Sheet'!K30&gt;0, 'Data Sheet'!K31/'Data Sheet'!K30, 0)</f>
        <v>2.4466966024791426E-2</v>
      </c>
    </row>
    <row r="19" spans="1:14" x14ac:dyDescent="0.3">
      <c r="A19" t="s">
        <v>1</v>
      </c>
      <c r="B19" s="4">
        <f>IF(B6&gt;0,B6/B4,0)</f>
        <v>0.35553814577697251</v>
      </c>
      <c r="C19" s="4">
        <f>IF(C6&gt;0,C6/C4,0)</f>
        <v>0.3282806582343501</v>
      </c>
      <c r="D19" s="4">
        <f>IF(D6&gt;0,D6/D4,0)</f>
        <v>0.35292944086899786</v>
      </c>
      <c r="E19" s="4">
        <f>IF(E6&gt;0,E6/E4,0)</f>
        <v>0.33591977534328948</v>
      </c>
      <c r="F19" s="4">
        <f>IF(F6&gt;0,F6/F4,0)</f>
        <v>0.32415905724101318</v>
      </c>
      <c r="G19" s="4">
        <f>IF(G6&gt;0,G6/G4,0)</f>
        <v>0.31363947871452735</v>
      </c>
      <c r="H19" s="4">
        <f>IF(H6&gt;0,H6/H4,0)</f>
        <v>0.36392239956038436</v>
      </c>
      <c r="I19" s="4">
        <f>IF(I6&gt;0,I6/I4,0)</f>
        <v>0.37039954507194955</v>
      </c>
      <c r="J19" s="4">
        <f>IF(J6&gt;0,J6/J4,0)</f>
        <v>0.37251835956586943</v>
      </c>
      <c r="K19" s="4">
        <f>IF(K6&gt;0,K6/K4,0)</f>
        <v>0.37931042729464737</v>
      </c>
      <c r="L19" s="4">
        <f>IF(L6&gt;0,L6/L4,0)</f>
        <v>0.3778704337583817</v>
      </c>
    </row>
    <row r="20" spans="1:14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4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4" s="5" customFormat="1" x14ac:dyDescent="0.3">
      <c r="A22" s="8"/>
      <c r="B22" s="7"/>
      <c r="C22" s="7"/>
      <c r="D22" s="7"/>
      <c r="E22" s="7"/>
      <c r="F22" s="7"/>
      <c r="G22" s="7" t="s">
        <v>10</v>
      </c>
      <c r="H22" s="7" t="s">
        <v>9</v>
      </c>
      <c r="I22" s="7" t="s">
        <v>8</v>
      </c>
      <c r="J22" s="7" t="s">
        <v>7</v>
      </c>
      <c r="K22" s="7" t="s">
        <v>6</v>
      </c>
      <c r="L22" s="6" t="s">
        <v>5</v>
      </c>
      <c r="M22" s="6" t="s">
        <v>4</v>
      </c>
      <c r="N22" s="6" t="s">
        <v>3</v>
      </c>
    </row>
    <row r="23" spans="1:14" s="5" customFormat="1" x14ac:dyDescent="0.3">
      <c r="A23"/>
      <c r="B23"/>
      <c r="C23"/>
      <c r="D23"/>
      <c r="E23"/>
      <c r="F23"/>
      <c r="G23" t="s">
        <v>2</v>
      </c>
      <c r="H23" s="4">
        <f>IF(B4=0,"",POWER($K4/B4,1/9)-1)</f>
        <v>0.22346643009930545</v>
      </c>
      <c r="I23" s="4">
        <f>IF(D4=0,"",POWER($K4/D4,1/7)-1)</f>
        <v>0.19759087107627349</v>
      </c>
      <c r="J23" s="4">
        <f>IF(F4=0,"",POWER($K4/F4,1/5)-1)</f>
        <v>0.19961649147963456</v>
      </c>
      <c r="K23" s="4">
        <f>IF(H4=0,"",POWER($K4/H4, 1/3)-1)</f>
        <v>0.22408107961711865</v>
      </c>
      <c r="L23" s="4">
        <f>IF(ISERROR(MAX(IF(J4=0,"",(K4-J4)/J4),IF(K4=0,"",(L4-K4)/K4))),"",MAX(IF(J4=0,"",(K4-J4)/J4),IF(K4=0,"",(L4-K4)/K4)))</f>
        <v>0.1322809428789436</v>
      </c>
      <c r="M23" s="3">
        <f>MAX(K23:L23)</f>
        <v>0.22408107961711865</v>
      </c>
      <c r="N23" s="3">
        <f>MIN(H23:L23)</f>
        <v>0.1322809428789436</v>
      </c>
    </row>
    <row r="24" spans="1:14" x14ac:dyDescent="0.3">
      <c r="G24" t="s">
        <v>1</v>
      </c>
      <c r="H24" s="4">
        <f>IF(SUM(B4:$K$4)=0,"",SUMPRODUCT(B19:$K$19,B4:$K$4)/SUM(B4:$K$4))</f>
        <v>0.35728170226692302</v>
      </c>
      <c r="I24" s="4">
        <f>IF(SUM(E4:$K$4)=0,"",SUMPRODUCT(E19:$K$19,E4:$K$4)/SUM(E4:$K$4))</f>
        <v>0.35907336785798033</v>
      </c>
      <c r="J24" s="4">
        <f>IF(SUM(G4:$K$4)=0,"",SUMPRODUCT(G19:$K$19,G4:$K$4)/SUM(G4:$K$4))</f>
        <v>0.36527164866203427</v>
      </c>
      <c r="K24" s="4">
        <f>IF(SUM(I4:$K$4)=0, "", SUMPRODUCT(I19:$K$19,I4:$K$4)/SUM(I4:$K$4))</f>
        <v>0.3745204381702768</v>
      </c>
      <c r="L24" s="4">
        <f>L19</f>
        <v>0.3778704337583817</v>
      </c>
      <c r="M24" s="3">
        <f>MAX(K24:L24)</f>
        <v>0.3778704337583817</v>
      </c>
      <c r="N24" s="3">
        <f>MIN(H24:L24)</f>
        <v>0.35728170226692302</v>
      </c>
    </row>
    <row r="25" spans="1:14" x14ac:dyDescent="0.3">
      <c r="G25" t="s">
        <v>0</v>
      </c>
      <c r="H25" s="2">
        <f>IF(ISERROR(AVERAGEIF(B14:$L14,"&gt;0")),"",AVERAGEIF(B14:$L14,"&gt;0"))</f>
        <v>33.271173321382619</v>
      </c>
      <c r="I25" s="2">
        <f>IF(ISERROR(AVERAGEIF(E14:$L14,"&gt;0")),"",AVERAGEIF(E14:$L14,"&gt;0"))</f>
        <v>33.912366695621252</v>
      </c>
      <c r="J25" s="2">
        <f>IF(ISERROR(AVERAGEIF(G14:$L14,"&gt;0")),"",AVERAGEIF(G14:$L14,"&gt;0"))</f>
        <v>35.865097832097618</v>
      </c>
      <c r="K25" s="2">
        <f>IF(ISERROR(AVERAGEIF(I14:$L14,"&gt;0")),"",AVERAGEIF(I14:$L14,"&gt;0"))</f>
        <v>31.042461716089548</v>
      </c>
      <c r="L25" s="2">
        <f>L14</f>
        <v>29.205840341394698</v>
      </c>
      <c r="M25" s="1">
        <f>MAX(K25:L25)</f>
        <v>31.042461716089548</v>
      </c>
      <c r="N25" s="1">
        <f>MIN(H25:L25)</f>
        <v>29.205840341394698</v>
      </c>
    </row>
  </sheetData>
  <hyperlinks>
    <hyperlink ref="M1" r:id="rId1" xr:uid="{BCDC012A-A187-4BEC-A5D4-25D4687049AD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C610-78DF-44BB-AB58-AFE708A624E0}">
  <sheetPr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5" customFormat="1" x14ac:dyDescent="0.3">
      <c r="A1" s="5" t="str">
        <f>'Profit &amp; Loss'!A1</f>
        <v>BAJAJ FINSERV LTD</v>
      </c>
      <c r="E1" t="str">
        <f>UPDATE</f>
        <v/>
      </c>
      <c r="J1" s="5" t="s">
        <v>29</v>
      </c>
    </row>
    <row r="3" spans="1:11" s="5" customFormat="1" x14ac:dyDescent="0.3">
      <c r="A3" s="8" t="s">
        <v>28</v>
      </c>
      <c r="B3" s="7">
        <f>'Data Sheet'!B41</f>
        <v>45382</v>
      </c>
      <c r="C3" s="7">
        <f>'Data Sheet'!C41</f>
        <v>45473</v>
      </c>
      <c r="D3" s="7">
        <f>'Data Sheet'!D41</f>
        <v>45565</v>
      </c>
      <c r="E3" s="7">
        <f>'Data Sheet'!E41</f>
        <v>45657</v>
      </c>
      <c r="F3" s="7">
        <f>'Data Sheet'!F41</f>
        <v>45747</v>
      </c>
      <c r="G3" s="7">
        <f>'Data Sheet'!G41</f>
        <v>45838</v>
      </c>
      <c r="H3" s="7">
        <f>'Data Sheet'!H41</f>
        <v>45930</v>
      </c>
      <c r="I3" s="7">
        <f>'Data Sheet'!I41</f>
        <v>46022</v>
      </c>
      <c r="J3" s="7">
        <f>'Data Sheet'!J41</f>
        <v>46112</v>
      </c>
      <c r="K3" s="7">
        <f>'Data Sheet'!K41</f>
        <v>46203</v>
      </c>
    </row>
    <row r="4" spans="1:11" s="5" customFormat="1" x14ac:dyDescent="0.3">
      <c r="A4" s="5" t="s">
        <v>24</v>
      </c>
      <c r="B4" s="1">
        <f>'Data Sheet'!B42</f>
        <v>32040.84</v>
      </c>
      <c r="C4" s="1">
        <f>'Data Sheet'!C42</f>
        <v>31479.93</v>
      </c>
      <c r="D4" s="1">
        <f>'Data Sheet'!D42</f>
        <v>33703.74</v>
      </c>
      <c r="E4" s="1">
        <f>'Data Sheet'!E42</f>
        <v>32041.81</v>
      </c>
      <c r="F4" s="1">
        <f>'Data Sheet'!F42</f>
        <v>36595.360000000001</v>
      </c>
      <c r="G4" s="1">
        <f>'Data Sheet'!G42</f>
        <v>35287.760000000002</v>
      </c>
      <c r="H4" s="1">
        <f>'Data Sheet'!H42</f>
        <v>37402.93</v>
      </c>
      <c r="I4" s="1">
        <f>'Data Sheet'!I42</f>
        <v>39708.06</v>
      </c>
      <c r="J4" s="1">
        <f>'Data Sheet'!J42</f>
        <v>38493.79</v>
      </c>
      <c r="K4" s="1">
        <f>'Data Sheet'!K42</f>
        <v>42036.9</v>
      </c>
    </row>
    <row r="5" spans="1:11" x14ac:dyDescent="0.3">
      <c r="A5" t="s">
        <v>23</v>
      </c>
      <c r="B5" s="2">
        <f>'Data Sheet'!B43</f>
        <v>21108.3</v>
      </c>
      <c r="C5" s="2">
        <f>'Data Sheet'!C43</f>
        <v>19655.12</v>
      </c>
      <c r="D5" s="2">
        <f>'Data Sheet'!D43</f>
        <v>21420.27</v>
      </c>
      <c r="E5" s="2">
        <f>'Data Sheet'!E43</f>
        <v>19668.63</v>
      </c>
      <c r="F5" s="2">
        <f>'Data Sheet'!F43</f>
        <v>23867.86</v>
      </c>
      <c r="G5" s="2">
        <f>'Data Sheet'!G43</f>
        <v>20972.57</v>
      </c>
      <c r="H5" s="2">
        <f>'Data Sheet'!H43</f>
        <v>23352.48</v>
      </c>
      <c r="I5" s="2">
        <f>'Data Sheet'!I43</f>
        <v>25841.71</v>
      </c>
      <c r="J5" s="2">
        <f>'Data Sheet'!J43</f>
        <v>23983.07</v>
      </c>
      <c r="K5" s="2">
        <f>'Data Sheet'!K43</f>
        <v>24896.29</v>
      </c>
    </row>
    <row r="6" spans="1:11" s="5" customFormat="1" x14ac:dyDescent="0.3">
      <c r="A6" s="5" t="s">
        <v>22</v>
      </c>
      <c r="B6" s="1">
        <f>'Data Sheet'!B50</f>
        <v>10932.54</v>
      </c>
      <c r="C6" s="1">
        <f>'Data Sheet'!C50</f>
        <v>11824.81</v>
      </c>
      <c r="D6" s="1">
        <f>'Data Sheet'!D50</f>
        <v>12283.47</v>
      </c>
      <c r="E6" s="1">
        <f>'Data Sheet'!E50</f>
        <v>12373.18</v>
      </c>
      <c r="F6" s="1">
        <f>'Data Sheet'!F50</f>
        <v>12727.5</v>
      </c>
      <c r="G6" s="1">
        <f>'Data Sheet'!G50</f>
        <v>14315.19</v>
      </c>
      <c r="H6" s="1">
        <f>'Data Sheet'!H50</f>
        <v>14050.45</v>
      </c>
      <c r="I6" s="1">
        <f>'Data Sheet'!I50</f>
        <v>13866.35</v>
      </c>
      <c r="J6" s="1">
        <f>'Data Sheet'!J50</f>
        <v>14510.72</v>
      </c>
      <c r="K6" s="1">
        <f>'Data Sheet'!K50</f>
        <v>17140.61</v>
      </c>
    </row>
    <row r="7" spans="1:11" x14ac:dyDescent="0.3">
      <c r="A7" t="s">
        <v>21</v>
      </c>
      <c r="B7" s="2">
        <f>'Data Sheet'!B44</f>
        <v>4.42</v>
      </c>
      <c r="C7" s="2">
        <f>'Data Sheet'!C44</f>
        <v>2.62</v>
      </c>
      <c r="D7" s="2">
        <f>'Data Sheet'!D44</f>
        <v>3.45</v>
      </c>
      <c r="E7" s="2">
        <f>'Data Sheet'!E44</f>
        <v>3.1</v>
      </c>
      <c r="F7" s="2">
        <f>'Data Sheet'!F44</f>
        <v>10.1</v>
      </c>
      <c r="G7" s="2">
        <f>'Data Sheet'!G44</f>
        <v>12.88</v>
      </c>
      <c r="H7" s="2">
        <f>'Data Sheet'!H44</f>
        <v>3.2</v>
      </c>
      <c r="I7" s="2">
        <f>'Data Sheet'!I44</f>
        <v>-377.79</v>
      </c>
      <c r="J7" s="2">
        <f>'Data Sheet'!J44</f>
        <v>25.29</v>
      </c>
      <c r="K7" s="2">
        <f>'Data Sheet'!K44</f>
        <v>5.1100000000000003</v>
      </c>
    </row>
    <row r="8" spans="1:11" x14ac:dyDescent="0.3">
      <c r="A8" t="s">
        <v>20</v>
      </c>
      <c r="B8" s="2">
        <f>'Data Sheet'!B45</f>
        <v>256.91000000000003</v>
      </c>
      <c r="C8" s="2">
        <f>'Data Sheet'!C45</f>
        <v>267.01</v>
      </c>
      <c r="D8" s="2">
        <f>'Data Sheet'!D45</f>
        <v>275.32</v>
      </c>
      <c r="E8" s="2">
        <f>'Data Sheet'!E45</f>
        <v>288.5</v>
      </c>
      <c r="F8" s="2">
        <f>'Data Sheet'!F45</f>
        <v>339.49</v>
      </c>
      <c r="G8" s="2">
        <f>'Data Sheet'!G45</f>
        <v>317.33</v>
      </c>
      <c r="H8" s="2">
        <f>'Data Sheet'!H45</f>
        <v>327.19</v>
      </c>
      <c r="I8" s="2">
        <f>'Data Sheet'!I45</f>
        <v>329.83</v>
      </c>
      <c r="J8" s="2">
        <f>'Data Sheet'!J45</f>
        <v>317.01</v>
      </c>
      <c r="K8" s="2">
        <f>'Data Sheet'!K45</f>
        <v>379.68</v>
      </c>
    </row>
    <row r="9" spans="1:11" x14ac:dyDescent="0.3">
      <c r="A9" t="s">
        <v>19</v>
      </c>
      <c r="B9" s="2">
        <f>'Data Sheet'!B46</f>
        <v>5153.51</v>
      </c>
      <c r="C9" s="2">
        <f>'Data Sheet'!C46</f>
        <v>5592.01</v>
      </c>
      <c r="D9" s="2">
        <f>'Data Sheet'!D46</f>
        <v>6045.63</v>
      </c>
      <c r="E9" s="2">
        <f>'Data Sheet'!E46</f>
        <v>6276.27</v>
      </c>
      <c r="F9" s="2">
        <f>'Data Sheet'!F46</f>
        <v>6395.79</v>
      </c>
      <c r="G9" s="2">
        <f>'Data Sheet'!G46</f>
        <v>6807.1</v>
      </c>
      <c r="H9" s="2">
        <f>'Data Sheet'!H46</f>
        <v>6901.33</v>
      </c>
      <c r="I9" s="2">
        <f>'Data Sheet'!I46</f>
        <v>7232.45</v>
      </c>
      <c r="J9" s="2">
        <f>'Data Sheet'!J46</f>
        <v>7290.9</v>
      </c>
      <c r="K9" s="2">
        <f>'Data Sheet'!K46</f>
        <v>7833.85</v>
      </c>
    </row>
    <row r="10" spans="1:11" x14ac:dyDescent="0.3">
      <c r="A10" t="s">
        <v>18</v>
      </c>
      <c r="B10" s="2">
        <f>'Data Sheet'!B47</f>
        <v>5526.54</v>
      </c>
      <c r="C10" s="2">
        <f>'Data Sheet'!C47</f>
        <v>5968.41</v>
      </c>
      <c r="D10" s="2">
        <f>'Data Sheet'!D47</f>
        <v>5965.97</v>
      </c>
      <c r="E10" s="2">
        <f>'Data Sheet'!E47</f>
        <v>5811.51</v>
      </c>
      <c r="F10" s="2">
        <f>'Data Sheet'!F47</f>
        <v>6002.32</v>
      </c>
      <c r="G10" s="2">
        <f>'Data Sheet'!G47</f>
        <v>7203.64</v>
      </c>
      <c r="H10" s="2">
        <f>'Data Sheet'!H47</f>
        <v>6825.13</v>
      </c>
      <c r="I10" s="2">
        <f>'Data Sheet'!I47</f>
        <v>5926.28</v>
      </c>
      <c r="J10" s="2">
        <f>'Data Sheet'!J47</f>
        <v>6928.1</v>
      </c>
      <c r="K10" s="2">
        <f>'Data Sheet'!K47</f>
        <v>8932.19</v>
      </c>
    </row>
    <row r="11" spans="1:11" x14ac:dyDescent="0.3">
      <c r="A11" t="s">
        <v>17</v>
      </c>
      <c r="B11" s="2">
        <f>'Data Sheet'!B48</f>
        <v>1441.61</v>
      </c>
      <c r="C11" s="2">
        <f>'Data Sheet'!C48</f>
        <v>1759.13</v>
      </c>
      <c r="D11" s="2">
        <f>'Data Sheet'!D48</f>
        <v>1785.82</v>
      </c>
      <c r="E11" s="2">
        <f>'Data Sheet'!E48</f>
        <v>1399.62</v>
      </c>
      <c r="F11" s="2">
        <f>'Data Sheet'!F48</f>
        <v>1246</v>
      </c>
      <c r="G11" s="2">
        <f>'Data Sheet'!G48</f>
        <v>1874.47</v>
      </c>
      <c r="H11" s="2">
        <f>'Data Sheet'!H48</f>
        <v>2078.66</v>
      </c>
      <c r="I11" s="2">
        <f>'Data Sheet'!I48</f>
        <v>1558.71</v>
      </c>
      <c r="J11" s="2">
        <f>'Data Sheet'!J48</f>
        <v>1701.84</v>
      </c>
      <c r="K11" s="2">
        <f>'Data Sheet'!K48</f>
        <v>2635.52</v>
      </c>
    </row>
    <row r="12" spans="1:11" s="5" customFormat="1" x14ac:dyDescent="0.3">
      <c r="A12" s="5" t="s">
        <v>16</v>
      </c>
      <c r="B12" s="1">
        <f>'Data Sheet'!B49</f>
        <v>2118.5300000000002</v>
      </c>
      <c r="C12" s="1">
        <f>'Data Sheet'!C49</f>
        <v>2137.6999999999998</v>
      </c>
      <c r="D12" s="1">
        <f>'Data Sheet'!D49</f>
        <v>2086.9699999999998</v>
      </c>
      <c r="E12" s="1">
        <f>'Data Sheet'!E49</f>
        <v>2231</v>
      </c>
      <c r="F12" s="1">
        <f>'Data Sheet'!F49</f>
        <v>2416.64</v>
      </c>
      <c r="G12" s="1">
        <f>'Data Sheet'!G49</f>
        <v>2789.05</v>
      </c>
      <c r="H12" s="1">
        <f>'Data Sheet'!H49</f>
        <v>2244.1</v>
      </c>
      <c r="I12" s="1">
        <f>'Data Sheet'!I49</f>
        <v>2229.15</v>
      </c>
      <c r="J12" s="1">
        <f>'Data Sheet'!J49</f>
        <v>2538.67</v>
      </c>
      <c r="K12" s="1">
        <f>'Data Sheet'!K49</f>
        <v>3132.35</v>
      </c>
    </row>
    <row r="14" spans="1:11" s="5" customFormat="1" x14ac:dyDescent="0.3">
      <c r="A14" s="5" t="s">
        <v>1</v>
      </c>
      <c r="B14" s="14">
        <f>IF(B4&gt;0,B6/B4,"")</f>
        <v>0.34120641031883064</v>
      </c>
      <c r="C14" s="14">
        <f>IF(C4&gt;0,C6/C4,"")</f>
        <v>0.37563012370103743</v>
      </c>
      <c r="D14" s="14">
        <f>IF(D4&gt;0,D6/D4,"")</f>
        <v>0.36445421190645311</v>
      </c>
      <c r="E14" s="14">
        <f>IF(E4&gt;0,E6/E4,"")</f>
        <v>0.38615733630528359</v>
      </c>
      <c r="F14" s="14">
        <f>IF(F4&gt;0,F6/F4,"")</f>
        <v>0.347789993048299</v>
      </c>
      <c r="G14" s="14">
        <f>IF(G4&gt;0,G6/G4,"")</f>
        <v>0.40567012471179809</v>
      </c>
      <c r="H14" s="14">
        <f>IF(H4&gt;0,H6/H4,"")</f>
        <v>0.37565105193630555</v>
      </c>
      <c r="I14" s="14">
        <f>IF(I4&gt;0,I6/I4,"")</f>
        <v>0.34920744050452229</v>
      </c>
      <c r="J14" s="14">
        <f>IF(J4&gt;0,J6/J4,"")</f>
        <v>0.37696262176314671</v>
      </c>
      <c r="K14" s="14">
        <f>IF(K4&gt;0,K6/K4,"")</f>
        <v>0.40775152306663909</v>
      </c>
    </row>
    <row r="22" s="13" customFormat="1" x14ac:dyDescent="0.3"/>
  </sheetData>
  <hyperlinks>
    <hyperlink ref="J1" r:id="rId1" xr:uid="{4A08CEB4-1EB3-4523-8D09-ED8AA261A854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79D5-2E89-4D9D-884A-7F8B8939F653}">
  <sheetPr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5" customFormat="1" x14ac:dyDescent="0.3">
      <c r="A1" s="5" t="str">
        <f>'Profit &amp; Loss'!A1</f>
        <v>BAJAJ FINSERV LTD</v>
      </c>
      <c r="E1" t="str">
        <f>UPDATE</f>
        <v/>
      </c>
      <c r="G1"/>
      <c r="J1" s="5" t="s">
        <v>29</v>
      </c>
    </row>
    <row r="2" spans="1:11" x14ac:dyDescent="0.3">
      <c r="G2" s="5"/>
      <c r="H2" s="5"/>
    </row>
    <row r="3" spans="1:11" x14ac:dyDescent="0.3">
      <c r="A3" s="8" t="s">
        <v>28</v>
      </c>
      <c r="B3" s="7">
        <f>'Data Sheet'!B56</f>
        <v>42825</v>
      </c>
      <c r="C3" s="7">
        <f>'Data Sheet'!C56</f>
        <v>43190</v>
      </c>
      <c r="D3" s="7">
        <f>'Data Sheet'!D56</f>
        <v>43555</v>
      </c>
      <c r="E3" s="7">
        <f>'Data Sheet'!E56</f>
        <v>43921</v>
      </c>
      <c r="F3" s="7">
        <f>'Data Sheet'!F56</f>
        <v>44286</v>
      </c>
      <c r="G3" s="7">
        <f>'Data Sheet'!G56</f>
        <v>44651</v>
      </c>
      <c r="H3" s="7">
        <f>'Data Sheet'!H56</f>
        <v>45016</v>
      </c>
      <c r="I3" s="7">
        <f>'Data Sheet'!I56</f>
        <v>45382</v>
      </c>
      <c r="J3" s="7">
        <f>'Data Sheet'!J56</f>
        <v>45747</v>
      </c>
      <c r="K3" s="7">
        <f>'Data Sheet'!K56</f>
        <v>46112</v>
      </c>
    </row>
    <row r="4" spans="1:11" x14ac:dyDescent="0.3">
      <c r="A4" t="s">
        <v>45</v>
      </c>
      <c r="B4" s="16">
        <f>'Data Sheet'!B57</f>
        <v>79.569999999999993</v>
      </c>
      <c r="C4" s="16">
        <f>'Data Sheet'!C57</f>
        <v>79.569999999999993</v>
      </c>
      <c r="D4" s="16">
        <f>'Data Sheet'!D57</f>
        <v>79.569999999999993</v>
      </c>
      <c r="E4" s="16">
        <f>'Data Sheet'!E57</f>
        <v>79.569999999999993</v>
      </c>
      <c r="F4" s="16">
        <f>'Data Sheet'!F57</f>
        <v>79.569999999999993</v>
      </c>
      <c r="G4" s="16">
        <f>'Data Sheet'!G57</f>
        <v>79.569999999999993</v>
      </c>
      <c r="H4" s="16">
        <f>'Data Sheet'!H57</f>
        <v>159.26</v>
      </c>
      <c r="I4" s="16">
        <f>'Data Sheet'!I57</f>
        <v>159.41</v>
      </c>
      <c r="J4" s="16">
        <f>'Data Sheet'!J57</f>
        <v>159.6</v>
      </c>
      <c r="K4" s="16">
        <f>'Data Sheet'!K57</f>
        <v>159.87</v>
      </c>
    </row>
    <row r="5" spans="1:11" x14ac:dyDescent="0.3">
      <c r="A5" t="s">
        <v>44</v>
      </c>
      <c r="B5" s="16">
        <f>'Data Sheet'!B58</f>
        <v>16070.76</v>
      </c>
      <c r="C5" s="16">
        <f>'Data Sheet'!C58</f>
        <v>20403.37</v>
      </c>
      <c r="D5" s="16">
        <f>'Data Sheet'!D58</f>
        <v>23660.5</v>
      </c>
      <c r="E5" s="16">
        <f>'Data Sheet'!E58</f>
        <v>31221.68</v>
      </c>
      <c r="F5" s="16">
        <f>'Data Sheet'!F58</f>
        <v>35750.43</v>
      </c>
      <c r="G5" s="16">
        <f>'Data Sheet'!G58</f>
        <v>40167.230000000003</v>
      </c>
      <c r="H5" s="16">
        <f>'Data Sheet'!H58</f>
        <v>46248.08</v>
      </c>
      <c r="I5" s="16">
        <f>'Data Sheet'!I58</f>
        <v>60169.23</v>
      </c>
      <c r="J5" s="16">
        <f>'Data Sheet'!J58</f>
        <v>72235.710000000006</v>
      </c>
      <c r="K5" s="16">
        <f>'Data Sheet'!K58</f>
        <v>77754.66</v>
      </c>
    </row>
    <row r="6" spans="1:11" x14ac:dyDescent="0.3">
      <c r="A6" t="s">
        <v>43</v>
      </c>
      <c r="B6" s="16">
        <f>'Data Sheet'!B59</f>
        <v>48282.04</v>
      </c>
      <c r="C6" s="16">
        <f>'Data Sheet'!C59</f>
        <v>65694.720000000001</v>
      </c>
      <c r="D6" s="16">
        <f>'Data Sheet'!D59</f>
        <v>99754.35</v>
      </c>
      <c r="E6" s="16">
        <f>'Data Sheet'!E59</f>
        <v>127212.03</v>
      </c>
      <c r="F6" s="16">
        <f>'Data Sheet'!F59</f>
        <v>128460.85</v>
      </c>
      <c r="G6" s="16">
        <f>'Data Sheet'!G59</f>
        <v>161179.18</v>
      </c>
      <c r="H6" s="16">
        <f>'Data Sheet'!H59</f>
        <v>212264.97</v>
      </c>
      <c r="I6" s="16">
        <f>'Data Sheet'!I59</f>
        <v>288932.62</v>
      </c>
      <c r="J6" s="16">
        <f>'Data Sheet'!J59</f>
        <v>355854.65</v>
      </c>
      <c r="K6" s="16">
        <f>'Data Sheet'!K59</f>
        <v>429913.96</v>
      </c>
    </row>
    <row r="7" spans="1:11" x14ac:dyDescent="0.3">
      <c r="A7" t="s">
        <v>42</v>
      </c>
      <c r="B7" s="16">
        <f>'Data Sheet'!B60</f>
        <v>64181.29</v>
      </c>
      <c r="C7" s="16">
        <f>'Data Sheet'!C60</f>
        <v>75336.600000000006</v>
      </c>
      <c r="D7" s="16">
        <f>'Data Sheet'!D60</f>
        <v>84933.759999999995</v>
      </c>
      <c r="E7" s="16">
        <f>'Data Sheet'!E60</f>
        <v>92790.87</v>
      </c>
      <c r="F7" s="16">
        <f>'Data Sheet'!F60</f>
        <v>115553.86</v>
      </c>
      <c r="G7" s="16">
        <f>'Data Sheet'!G60</f>
        <v>131987.23000000001</v>
      </c>
      <c r="H7" s="16">
        <f>'Data Sheet'!H60</f>
        <v>146728.84</v>
      </c>
      <c r="I7" s="16">
        <f>'Data Sheet'!I60</f>
        <v>188153.88</v>
      </c>
      <c r="J7" s="16">
        <f>'Data Sheet'!J60</f>
        <v>223269.14</v>
      </c>
      <c r="K7" s="16">
        <f>'Data Sheet'!K60</f>
        <v>250666.25</v>
      </c>
    </row>
    <row r="8" spans="1:11" s="5" customFormat="1" x14ac:dyDescent="0.3">
      <c r="A8" s="5" t="s">
        <v>37</v>
      </c>
      <c r="B8" s="17">
        <f>'Data Sheet'!B61</f>
        <v>128613.66</v>
      </c>
      <c r="C8" s="17">
        <f>'Data Sheet'!C61</f>
        <v>161514.26</v>
      </c>
      <c r="D8" s="17">
        <f>'Data Sheet'!D61</f>
        <v>208428.18</v>
      </c>
      <c r="E8" s="17">
        <f>'Data Sheet'!E61</f>
        <v>251304.15</v>
      </c>
      <c r="F8" s="17">
        <f>'Data Sheet'!F61</f>
        <v>279844.71000000002</v>
      </c>
      <c r="G8" s="17">
        <f>'Data Sheet'!G61</f>
        <v>333413.21000000002</v>
      </c>
      <c r="H8" s="17">
        <f>'Data Sheet'!H61</f>
        <v>405401.15</v>
      </c>
      <c r="I8" s="17">
        <f>'Data Sheet'!I61</f>
        <v>537415.14</v>
      </c>
      <c r="J8" s="17">
        <f>'Data Sheet'!J61</f>
        <v>651519.1</v>
      </c>
      <c r="K8" s="17">
        <f>'Data Sheet'!K61</f>
        <v>758494.74</v>
      </c>
    </row>
    <row r="9" spans="1:11" s="5" customFormat="1" x14ac:dyDescent="0.3"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x14ac:dyDescent="0.3">
      <c r="A10" t="s">
        <v>41</v>
      </c>
      <c r="B10" s="16">
        <f>'Data Sheet'!B62</f>
        <v>1645.4</v>
      </c>
      <c r="C10" s="16">
        <f>'Data Sheet'!C62</f>
        <v>1791.85</v>
      </c>
      <c r="D10" s="16">
        <f>'Data Sheet'!D62</f>
        <v>2096.83</v>
      </c>
      <c r="E10" s="16">
        <f>'Data Sheet'!E62</f>
        <v>3215.62</v>
      </c>
      <c r="F10" s="16">
        <f>'Data Sheet'!F62</f>
        <v>3182.1</v>
      </c>
      <c r="G10" s="16">
        <f>'Data Sheet'!G62</f>
        <v>3585.58</v>
      </c>
      <c r="H10" s="16">
        <f>'Data Sheet'!H62</f>
        <v>4336.01</v>
      </c>
      <c r="I10" s="16">
        <f>'Data Sheet'!I62</f>
        <v>5455.34</v>
      </c>
      <c r="J10" s="16">
        <f>'Data Sheet'!J62</f>
        <v>6297.13</v>
      </c>
      <c r="K10" s="16">
        <f>'Data Sheet'!K62</f>
        <v>6729.07</v>
      </c>
    </row>
    <row r="11" spans="1:11" x14ac:dyDescent="0.3">
      <c r="A11" t="s">
        <v>40</v>
      </c>
      <c r="B11" s="16">
        <f>'Data Sheet'!B63</f>
        <v>3.54</v>
      </c>
      <c r="C11" s="16">
        <f>'Data Sheet'!C63</f>
        <v>27.7</v>
      </c>
      <c r="D11" s="16">
        <f>'Data Sheet'!D63</f>
        <v>65.510000000000005</v>
      </c>
      <c r="E11" s="16">
        <f>'Data Sheet'!E63</f>
        <v>44.69</v>
      </c>
      <c r="F11" s="16">
        <f>'Data Sheet'!F63</f>
        <v>128.85</v>
      </c>
      <c r="G11" s="16">
        <f>'Data Sheet'!G63</f>
        <v>112.81</v>
      </c>
      <c r="H11" s="16">
        <f>'Data Sheet'!H63</f>
        <v>191.27</v>
      </c>
      <c r="I11" s="16">
        <f>'Data Sheet'!I63</f>
        <v>220.08</v>
      </c>
      <c r="J11" s="16">
        <f>'Data Sheet'!J63</f>
        <v>314.02999999999997</v>
      </c>
      <c r="K11" s="16">
        <f>'Data Sheet'!K63</f>
        <v>321.31</v>
      </c>
    </row>
    <row r="12" spans="1:11" x14ac:dyDescent="0.3">
      <c r="A12" t="s">
        <v>39</v>
      </c>
      <c r="B12" s="16">
        <f>'Data Sheet'!B64</f>
        <v>62658.46</v>
      </c>
      <c r="C12" s="16">
        <f>'Data Sheet'!C64</f>
        <v>69428.479999999996</v>
      </c>
      <c r="D12" s="16">
        <f>'Data Sheet'!D64</f>
        <v>81679.06</v>
      </c>
      <c r="E12" s="16">
        <f>'Data Sheet'!E64</f>
        <v>91821.05</v>
      </c>
      <c r="F12" s="16">
        <f>'Data Sheet'!F64</f>
        <v>113654.41</v>
      </c>
      <c r="G12" s="16">
        <f>'Data Sheet'!G64</f>
        <v>119222.08</v>
      </c>
      <c r="H12" s="16">
        <f>'Data Sheet'!H64</f>
        <v>136175.73000000001</v>
      </c>
      <c r="I12" s="16">
        <f>'Data Sheet'!I64</f>
        <v>170126.84</v>
      </c>
      <c r="J12" s="16">
        <f>'Data Sheet'!J64</f>
        <v>190129.78</v>
      </c>
      <c r="K12" s="16">
        <f>'Data Sheet'!K64</f>
        <v>194413.54</v>
      </c>
    </row>
    <row r="13" spans="1:11" x14ac:dyDescent="0.3">
      <c r="A13" t="s">
        <v>38</v>
      </c>
      <c r="B13" s="16">
        <f>'Data Sheet'!B65</f>
        <v>64306.26</v>
      </c>
      <c r="C13" s="16">
        <f>'Data Sheet'!C65</f>
        <v>90266.23</v>
      </c>
      <c r="D13" s="16">
        <f>'Data Sheet'!D65</f>
        <v>124586.78</v>
      </c>
      <c r="E13" s="16">
        <f>'Data Sheet'!E65</f>
        <v>156222.79</v>
      </c>
      <c r="F13" s="16">
        <f>'Data Sheet'!F65</f>
        <v>162879.35</v>
      </c>
      <c r="G13" s="16">
        <f>'Data Sheet'!G65</f>
        <v>210492.74</v>
      </c>
      <c r="H13" s="16">
        <f>'Data Sheet'!H65</f>
        <v>264698.14</v>
      </c>
      <c r="I13" s="16">
        <f>'Data Sheet'!I65</f>
        <v>361612.88</v>
      </c>
      <c r="J13" s="16">
        <f>'Data Sheet'!J65</f>
        <v>454778.16</v>
      </c>
      <c r="K13" s="16">
        <f>'Data Sheet'!K65</f>
        <v>557030.81999999995</v>
      </c>
    </row>
    <row r="14" spans="1:11" s="5" customFormat="1" x14ac:dyDescent="0.3">
      <c r="A14" s="5" t="s">
        <v>37</v>
      </c>
      <c r="B14" s="16">
        <f>'Data Sheet'!B66</f>
        <v>128613.66</v>
      </c>
      <c r="C14" s="16">
        <f>'Data Sheet'!C66</f>
        <v>161514.26</v>
      </c>
      <c r="D14" s="16">
        <f>'Data Sheet'!D66</f>
        <v>208428.18</v>
      </c>
      <c r="E14" s="16">
        <f>'Data Sheet'!E66</f>
        <v>251304.15</v>
      </c>
      <c r="F14" s="16">
        <f>'Data Sheet'!F66</f>
        <v>279844.71000000002</v>
      </c>
      <c r="G14" s="16">
        <f>'Data Sheet'!G66</f>
        <v>333413.21000000002</v>
      </c>
      <c r="H14" s="16">
        <f>'Data Sheet'!H66</f>
        <v>405401.15</v>
      </c>
      <c r="I14" s="16">
        <f>'Data Sheet'!I66</f>
        <v>537415.14</v>
      </c>
      <c r="J14" s="16">
        <f>'Data Sheet'!J66</f>
        <v>651519.1</v>
      </c>
      <c r="K14" s="16">
        <f>'Data Sheet'!K66</f>
        <v>758494.74</v>
      </c>
    </row>
    <row r="15" spans="1:11" x14ac:dyDescent="0.3"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x14ac:dyDescent="0.3">
      <c r="A16" t="s">
        <v>36</v>
      </c>
      <c r="B16" s="15">
        <f>B13-B7</f>
        <v>124.97000000000116</v>
      </c>
      <c r="C16" s="15">
        <f>C13-C7</f>
        <v>14929.62999999999</v>
      </c>
      <c r="D16" s="15">
        <f>D13-D7</f>
        <v>39653.020000000004</v>
      </c>
      <c r="E16" s="15">
        <f>E13-E7</f>
        <v>63431.920000000013</v>
      </c>
      <c r="F16" s="15">
        <f>F13-F7</f>
        <v>47325.490000000005</v>
      </c>
      <c r="G16" s="15">
        <f>G13-G7</f>
        <v>78505.50999999998</v>
      </c>
      <c r="H16" s="15">
        <f>H13-H7</f>
        <v>117969.30000000002</v>
      </c>
      <c r="I16" s="15">
        <f>I13-I7</f>
        <v>173459</v>
      </c>
      <c r="J16" s="15">
        <f>J13-J7</f>
        <v>231509.01999999996</v>
      </c>
      <c r="K16" s="15">
        <f>K13-K7</f>
        <v>306364.56999999995</v>
      </c>
    </row>
    <row r="17" spans="1:11" x14ac:dyDescent="0.3">
      <c r="A17" t="s">
        <v>35</v>
      </c>
      <c r="B17" s="15">
        <f>'Data Sheet'!B67</f>
        <v>1253.1199999999999</v>
      </c>
      <c r="C17" s="15">
        <f>'Data Sheet'!C67</f>
        <v>1753.28</v>
      </c>
      <c r="D17" s="15">
        <f>'Data Sheet'!D67</f>
        <v>2273.08</v>
      </c>
      <c r="E17" s="15">
        <f>'Data Sheet'!E67</f>
        <v>2657.81</v>
      </c>
      <c r="F17" s="15">
        <f>'Data Sheet'!F67</f>
        <v>2753.07</v>
      </c>
      <c r="G17" s="15">
        <f>'Data Sheet'!G67</f>
        <v>3004.81</v>
      </c>
      <c r="H17" s="15">
        <f>'Data Sheet'!H67</f>
        <v>3458.64</v>
      </c>
      <c r="I17" s="15">
        <f>'Data Sheet'!I67</f>
        <v>5973.86</v>
      </c>
      <c r="J17" s="15">
        <f>'Data Sheet'!J67</f>
        <v>8319.35</v>
      </c>
      <c r="K17" s="15">
        <f>'Data Sheet'!K67</f>
        <v>9332.08</v>
      </c>
    </row>
    <row r="18" spans="1:11" x14ac:dyDescent="0.3">
      <c r="A18" t="s">
        <v>34</v>
      </c>
      <c r="B18" s="15">
        <f>'Data Sheet'!B68</f>
        <v>0</v>
      </c>
      <c r="C18" s="15">
        <f>'Data Sheet'!C68</f>
        <v>0</v>
      </c>
      <c r="D18" s="15">
        <f>'Data Sheet'!D68</f>
        <v>0</v>
      </c>
      <c r="E18" s="15">
        <f>'Data Sheet'!E68</f>
        <v>0</v>
      </c>
      <c r="F18" s="15">
        <f>'Data Sheet'!F68</f>
        <v>0</v>
      </c>
      <c r="G18" s="15">
        <f>'Data Sheet'!G68</f>
        <v>0</v>
      </c>
      <c r="H18" s="15">
        <f>'Data Sheet'!H68</f>
        <v>0</v>
      </c>
      <c r="I18" s="15">
        <f>'Data Sheet'!I68</f>
        <v>0</v>
      </c>
      <c r="J18" s="15">
        <f>'Data Sheet'!J68</f>
        <v>0</v>
      </c>
      <c r="K18" s="15">
        <f>'Data Sheet'!K68</f>
        <v>0</v>
      </c>
    </row>
    <row r="20" spans="1:11" x14ac:dyDescent="0.3">
      <c r="A20" t="s">
        <v>33</v>
      </c>
      <c r="B20" s="15">
        <f>IF('Profit &amp; Loss'!B4&gt;0,'Balance Sheet'!B17/('Profit &amp; Loss'!B4/365),0)</f>
        <v>18.663369689847514</v>
      </c>
      <c r="C20" s="15">
        <f>IF('Profit &amp; Loss'!C4&gt;0,'Balance Sheet'!C17/('Profit &amp; Loss'!C4/365),0)</f>
        <v>19.473502592319626</v>
      </c>
      <c r="D20" s="15">
        <f>IF('Profit &amp; Loss'!D4&gt;0,'Balance Sheet'!D17/('Profit &amp; Loss'!D4/365),0)</f>
        <v>19.473451722082178</v>
      </c>
      <c r="E20" s="15">
        <f>IF('Profit &amp; Loss'!E4&gt;0,'Balance Sheet'!E17/('Profit &amp; Loss'!E4/365),0)</f>
        <v>17.848688082747501</v>
      </c>
      <c r="F20" s="15">
        <f>IF('Profit &amp; Loss'!F4&gt;0,'Balance Sheet'!F17/('Profit &amp; Loss'!F4/365),0)</f>
        <v>16.584342990570299</v>
      </c>
      <c r="G20" s="15">
        <f>IF('Profit &amp; Loss'!G4&gt;0,'Balance Sheet'!G17/('Profit &amp; Loss'!G4/365),0)</f>
        <v>16.032967294815624</v>
      </c>
      <c r="H20" s="15">
        <f>IF('Profit &amp; Loss'!H4&gt;0,'Balance Sheet'!H17/('Profit &amp; Loss'!H4/365),0)</f>
        <v>15.381716231051628</v>
      </c>
      <c r="I20" s="15">
        <f>IF('Profit &amp; Loss'!I4&gt;0,'Balance Sheet'!I17/('Profit &amp; Loss'!I4/365),0)</f>
        <v>19.753702337576073</v>
      </c>
      <c r="J20" s="15">
        <f>IF('Profit &amp; Loss'!J4&gt;0,'Balance Sheet'!J17/('Profit &amp; Loss'!J4/365),0)</f>
        <v>22.840861121407819</v>
      </c>
      <c r="K20" s="15">
        <f>IF('Profit &amp; Loss'!K4&gt;0,'Balance Sheet'!K17/('Profit &amp; Loss'!K4/365),0)</f>
        <v>22.628060579423465</v>
      </c>
    </row>
    <row r="21" spans="1:11" x14ac:dyDescent="0.3">
      <c r="A21" t="s">
        <v>32</v>
      </c>
      <c r="B21" s="15">
        <f>IF('Balance Sheet'!B18&gt;0,'Profit &amp; Loss'!B4/'Balance Sheet'!B18,0)</f>
        <v>0</v>
      </c>
      <c r="C21" s="15">
        <f>IF('Balance Sheet'!C18&gt;0,'Profit &amp; Loss'!C4/'Balance Sheet'!C18,0)</f>
        <v>0</v>
      </c>
      <c r="D21" s="15">
        <f>IF('Balance Sheet'!D18&gt;0,'Profit &amp; Loss'!D4/'Balance Sheet'!D18,0)</f>
        <v>0</v>
      </c>
      <c r="E21" s="15">
        <f>IF('Balance Sheet'!E18&gt;0,'Profit &amp; Loss'!E4/'Balance Sheet'!E18,0)</f>
        <v>0</v>
      </c>
      <c r="F21" s="15">
        <f>IF('Balance Sheet'!F18&gt;0,'Profit &amp; Loss'!F4/'Balance Sheet'!F18,0)</f>
        <v>0</v>
      </c>
      <c r="G21" s="15">
        <f>IF('Balance Sheet'!G18&gt;0,'Profit &amp; Loss'!G4/'Balance Sheet'!G18,0)</f>
        <v>0</v>
      </c>
      <c r="H21" s="15">
        <f>IF('Balance Sheet'!H18&gt;0,'Profit &amp; Loss'!H4/'Balance Sheet'!H18,0)</f>
        <v>0</v>
      </c>
      <c r="I21" s="15">
        <f>IF('Balance Sheet'!I18&gt;0,'Profit &amp; Loss'!I4/'Balance Sheet'!I18,0)</f>
        <v>0</v>
      </c>
      <c r="J21" s="15">
        <f>IF('Balance Sheet'!J18&gt;0,'Profit &amp; Loss'!J4/'Balance Sheet'!J18,0)</f>
        <v>0</v>
      </c>
      <c r="K21" s="15">
        <f>IF('Balance Sheet'!K18&gt;0,'Profit &amp; Loss'!K4/'Balance Sheet'!K18,0)</f>
        <v>0</v>
      </c>
    </row>
    <row r="23" spans="1:11" s="5" customFormat="1" x14ac:dyDescent="0.3">
      <c r="A23" s="5" t="s">
        <v>31</v>
      </c>
      <c r="B23" s="14">
        <f>IF(SUM('Balance Sheet'!B4:B5)&gt;0,'Profit &amp; Loss'!B12/SUM('Balance Sheet'!B4:B5),"")</f>
        <v>0.14005410415762404</v>
      </c>
      <c r="C23" s="14">
        <f>IF(SUM('Balance Sheet'!C4:C5)&gt;0,'Profit &amp; Loss'!C12/SUM('Balance Sheet'!C4:C5),"")</f>
        <v>0.12938865221496526</v>
      </c>
      <c r="D23" s="14">
        <f>IF(SUM('Balance Sheet'!D4:D5)&gt;0,'Profit &amp; Loss'!D12/SUM('Balance Sheet'!D4:D5),"")</f>
        <v>0.13559521939067576</v>
      </c>
      <c r="E23" s="14">
        <f>IF(SUM('Balance Sheet'!E4:E5)&gt;0,'Profit &amp; Loss'!E12/SUM('Balance Sheet'!E4:E5),"")</f>
        <v>0.10763563755441077</v>
      </c>
      <c r="F23" s="14">
        <f>IF(SUM('Balance Sheet'!F4:F5)&gt;0,'Profit &amp; Loss'!F12/SUM('Balance Sheet'!F4:F5),"")</f>
        <v>0.12476862963996652</v>
      </c>
      <c r="G23" s="14">
        <f>IF(SUM('Balance Sheet'!G4:G5)&gt;0,'Profit &amp; Loss'!G12/SUM('Balance Sheet'!G4:G5),"")</f>
        <v>0.11322067841418448</v>
      </c>
      <c r="H23" s="14">
        <f>IF(SUM('Balance Sheet'!H4:H5)&gt;0,'Profit &amp; Loss'!H12/SUM('Balance Sheet'!H4:H5),"")</f>
        <v>0.13828157356142368</v>
      </c>
      <c r="I23" s="14">
        <f>IF(SUM('Balance Sheet'!I4:I5)&gt;0,'Profit &amp; Loss'!I12/SUM('Balance Sheet'!I4:I5),"")</f>
        <v>0.13505674916590196</v>
      </c>
      <c r="J23" s="14">
        <f>IF(SUM('Balance Sheet'!J4:J5)&gt;0,'Profit &amp; Loss'!J12/SUM('Balance Sheet'!J4:J5),"")</f>
        <v>0.12255365713607688</v>
      </c>
      <c r="K23" s="14">
        <f>IF(SUM('Balance Sheet'!K4:K5)&gt;0,'Profit &amp; Loss'!K12/SUM('Balance Sheet'!K4:K5),"")</f>
        <v>0.12579129977425263</v>
      </c>
    </row>
    <row r="24" spans="1:11" s="5" customFormat="1" x14ac:dyDescent="0.3">
      <c r="A24" s="5" t="s">
        <v>30</v>
      </c>
      <c r="B24" s="14"/>
      <c r="C24" s="14">
        <f>IF((B4+B5+B6+C4+C5+C6)&gt;0,('Profit &amp; Loss'!C10+'Profit &amp; Loss'!C9)*2/(B4+B5+B6+C4+C5+C6),"")</f>
        <v>0.14115540644935798</v>
      </c>
      <c r="D24" s="14">
        <f>IF((C4+C5+C6+D4+D5+D6)&gt;0,('Profit &amp; Loss'!D10+'Profit &amp; Loss'!D9)*2/(C4+C5+C6+D4+D5+D6),"")</f>
        <v>0.1412886255528156</v>
      </c>
      <c r="E24" s="14">
        <f>IF((D4+D5+D6+E4+E5+E6)&gt;0,('Profit &amp; Loss'!E10+'Profit &amp; Loss'!E9)*2/(D4+D5+D6+E4+E5+E6),"")</f>
        <v>0.12624669468245014</v>
      </c>
      <c r="F24" s="14">
        <f>IF((E4+E5+E6+F4+F5+F6)&gt;0,('Profit &amp; Loss'!F10+'Profit &amp; Loss'!F9)*2/(E4+E5+E6+F4+F5+F6),"")</f>
        <v>0.11856081271326981</v>
      </c>
      <c r="G24" s="14">
        <f>IF((F4+F5+F6+G4+G5+G6)&gt;0,('Profit &amp; Loss'!G10+'Profit &amp; Loss'!G9)*2/(F4+F5+F6+G4+G5+G6),"")</f>
        <v>0.11429629858707897</v>
      </c>
      <c r="H24" s="14">
        <f>IF((G4+G5+G6+H4+H5+H6)&gt;0,('Profit &amp; Loss'!H10+'Profit &amp; Loss'!H9)*2/(G4+G5+G6+H4+H5+H6),"")</f>
        <v>0.12689197345202041</v>
      </c>
      <c r="I24" s="14">
        <f>IF((H4+H5+H6+I4+I5+I6)&gt;0,('Profit &amp; Loss'!I10+'Profit &amp; Loss'!I9)*2/(H4+H5+H6+I4+I5+I6),"")</f>
        <v>0.13153266071488698</v>
      </c>
      <c r="J24" s="14">
        <f>IF((I4+I5+I6+J4+J5+J6)&gt;0,('Profit &amp; Loss'!J10+'Profit &amp; Loss'!J9)*2/(I4+I5+I6+J4+J5+J6),"")</f>
        <v>0.124333974241555</v>
      </c>
      <c r="K24" s="14">
        <f>IF((J4+J5+J6+K4+K5+K6)&gt;0,('Profit &amp; Loss'!K10+'Profit &amp; Loss'!K9)*2/(J4+J5+J6+K4+K5+K6),"")</f>
        <v>0.11841761766869005</v>
      </c>
    </row>
  </sheetData>
  <hyperlinks>
    <hyperlink ref="J1" r:id="rId1" xr:uid="{3131C188-5956-4D2D-B09E-8BE86ADA490F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72411-D7F9-4D0B-B6EF-E96CE734F727}"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5"/>
    <col min="2" max="2" width="10.44140625" customWidth="1"/>
    <col min="3" max="3" width="13.33203125" style="18" customWidth="1"/>
    <col min="6" max="6" width="6.77734375" customWidth="1"/>
  </cols>
  <sheetData>
    <row r="1" spans="1:7" ht="21" x14ac:dyDescent="0.4">
      <c r="A1" s="21" t="s">
        <v>61</v>
      </c>
    </row>
    <row r="3" spans="1:7" x14ac:dyDescent="0.3">
      <c r="A3" s="5" t="s">
        <v>60</v>
      </c>
    </row>
    <row r="4" spans="1:7" x14ac:dyDescent="0.3">
      <c r="B4" t="s">
        <v>59</v>
      </c>
    </row>
    <row r="5" spans="1:7" x14ac:dyDescent="0.3">
      <c r="B5" t="s">
        <v>58</v>
      </c>
    </row>
    <row r="7" spans="1:7" x14ac:dyDescent="0.3">
      <c r="A7" s="5" t="s">
        <v>57</v>
      </c>
    </row>
    <row r="8" spans="1:7" x14ac:dyDescent="0.3">
      <c r="B8" t="s">
        <v>56</v>
      </c>
      <c r="C8" s="20" t="s">
        <v>55</v>
      </c>
    </row>
    <row r="10" spans="1:7" x14ac:dyDescent="0.3">
      <c r="A10" s="5" t="s">
        <v>54</v>
      </c>
    </row>
    <row r="11" spans="1:7" x14ac:dyDescent="0.3">
      <c r="B11" t="s">
        <v>53</v>
      </c>
    </row>
    <row r="14" spans="1:7" x14ac:dyDescent="0.3">
      <c r="A14" s="5" t="s">
        <v>52</v>
      </c>
    </row>
    <row r="15" spans="1:7" x14ac:dyDescent="0.3">
      <c r="B15" t="s">
        <v>51</v>
      </c>
    </row>
    <row r="16" spans="1:7" x14ac:dyDescent="0.3">
      <c r="B16" t="s">
        <v>50</v>
      </c>
      <c r="G16" s="19"/>
    </row>
  </sheetData>
  <hyperlinks>
    <hyperlink ref="C8" r:id="rId1" display=" http://www.screener.in/excel" xr:uid="{8D6EBB4E-31FD-4BD6-972D-31CF62B258D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5A3D-1F8F-42C6-9143-141C5EA0A4B5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15" bestFit="1" customWidth="1"/>
    <col min="2" max="11" width="13.44140625" style="15" bestFit="1" customWidth="1"/>
    <col min="12" max="16384" width="8.77734375" style="15"/>
  </cols>
  <sheetData>
    <row r="1" spans="1:11" s="1" customFormat="1" x14ac:dyDescent="0.3">
      <c r="A1" s="1" t="s">
        <v>92</v>
      </c>
      <c r="B1" s="1" t="s">
        <v>91</v>
      </c>
      <c r="E1" s="26" t="str">
        <f>IF(B2&lt;&gt;B3, "A NEW VERSION OF THE WORKSHEET IS AVAILABLE", "")</f>
        <v/>
      </c>
      <c r="F1" s="26"/>
      <c r="G1" s="26"/>
      <c r="H1" s="26"/>
      <c r="I1" s="26"/>
      <c r="J1" s="26"/>
      <c r="K1" s="26"/>
    </row>
    <row r="2" spans="1:11" x14ac:dyDescent="0.3">
      <c r="A2" s="1" t="s">
        <v>90</v>
      </c>
      <c r="B2" s="15">
        <v>2.1</v>
      </c>
      <c r="E2" s="25" t="s">
        <v>89</v>
      </c>
      <c r="F2" s="25"/>
      <c r="G2" s="25"/>
      <c r="H2" s="25"/>
      <c r="I2" s="25"/>
      <c r="J2" s="25"/>
      <c r="K2" s="25"/>
    </row>
    <row r="3" spans="1:11" x14ac:dyDescent="0.3">
      <c r="A3" s="1" t="s">
        <v>88</v>
      </c>
      <c r="B3" s="15">
        <v>2.1</v>
      </c>
    </row>
    <row r="4" spans="1:11" x14ac:dyDescent="0.3">
      <c r="A4" s="1"/>
    </row>
    <row r="5" spans="1:11" x14ac:dyDescent="0.3">
      <c r="A5" s="1" t="s">
        <v>87</v>
      </c>
    </row>
    <row r="6" spans="1:11" x14ac:dyDescent="0.3">
      <c r="A6" s="15" t="s">
        <v>86</v>
      </c>
      <c r="B6" s="15">
        <f>IF(B9&gt;0, B9/B8, 0)</f>
        <v>159.93086639676113</v>
      </c>
    </row>
    <row r="7" spans="1:11" x14ac:dyDescent="0.3">
      <c r="A7" s="15" t="s">
        <v>85</v>
      </c>
      <c r="B7">
        <v>1</v>
      </c>
    </row>
    <row r="8" spans="1:11" x14ac:dyDescent="0.3">
      <c r="A8" s="15" t="s">
        <v>84</v>
      </c>
      <c r="B8">
        <v>1852.5</v>
      </c>
    </row>
    <row r="9" spans="1:11" x14ac:dyDescent="0.3">
      <c r="A9" s="15" t="s">
        <v>83</v>
      </c>
      <c r="B9">
        <v>296271.93</v>
      </c>
    </row>
    <row r="15" spans="1:11" x14ac:dyDescent="0.3">
      <c r="A15" s="1" t="s">
        <v>82</v>
      </c>
    </row>
    <row r="16" spans="1:11" s="23" customFormat="1" x14ac:dyDescent="0.3">
      <c r="A16" s="24" t="s">
        <v>65</v>
      </c>
      <c r="B16" s="7">
        <v>42825</v>
      </c>
      <c r="C16" s="7">
        <v>43190</v>
      </c>
      <c r="D16" s="7">
        <v>43555</v>
      </c>
      <c r="E16" s="7">
        <v>43921</v>
      </c>
      <c r="F16" s="7">
        <v>44286</v>
      </c>
      <c r="G16" s="7">
        <v>44651</v>
      </c>
      <c r="H16" s="7">
        <v>45016</v>
      </c>
      <c r="I16" s="7">
        <v>45382</v>
      </c>
      <c r="J16" s="7">
        <v>45747</v>
      </c>
      <c r="K16" s="7">
        <v>46112</v>
      </c>
    </row>
    <row r="17" spans="1:11" s="2" customFormat="1" x14ac:dyDescent="0.3">
      <c r="A17" s="2" t="s">
        <v>24</v>
      </c>
      <c r="B17">
        <v>24507.3</v>
      </c>
      <c r="C17">
        <v>32862.46</v>
      </c>
      <c r="D17">
        <v>42605.4</v>
      </c>
      <c r="E17">
        <v>54351.37</v>
      </c>
      <c r="F17">
        <v>60591.519999999997</v>
      </c>
      <c r="G17">
        <v>68406.28</v>
      </c>
      <c r="H17">
        <v>82071.7</v>
      </c>
      <c r="I17">
        <v>110382.29</v>
      </c>
      <c r="J17">
        <v>132944.32000000001</v>
      </c>
      <c r="K17">
        <v>150530.32</v>
      </c>
    </row>
    <row r="18" spans="1:11" s="2" customFormat="1" x14ac:dyDescent="0.3">
      <c r="A18" s="15" t="s">
        <v>81</v>
      </c>
    </row>
    <row r="19" spans="1:11" s="2" customFormat="1" x14ac:dyDescent="0.3">
      <c r="A19" s="15" t="s">
        <v>80</v>
      </c>
    </row>
    <row r="20" spans="1:11" s="2" customFormat="1" x14ac:dyDescent="0.3">
      <c r="A20" s="15" t="s">
        <v>79</v>
      </c>
      <c r="D20">
        <v>40.9</v>
      </c>
      <c r="E20">
        <v>9.6</v>
      </c>
      <c r="F20">
        <v>9.08</v>
      </c>
      <c r="G20">
        <v>5.31</v>
      </c>
      <c r="H20">
        <v>0.32</v>
      </c>
      <c r="I20">
        <v>0.11</v>
      </c>
      <c r="J20">
        <v>0.28999999999999998</v>
      </c>
      <c r="K20">
        <v>0.15</v>
      </c>
    </row>
    <row r="21" spans="1:11" s="2" customFormat="1" x14ac:dyDescent="0.3">
      <c r="A21" s="15" t="s">
        <v>78</v>
      </c>
      <c r="B21">
        <v>27.13</v>
      </c>
      <c r="C21">
        <v>1400.74</v>
      </c>
      <c r="D21">
        <v>19290.57</v>
      </c>
      <c r="E21">
        <v>23739.27</v>
      </c>
      <c r="F21">
        <v>27447.360000000001</v>
      </c>
      <c r="G21">
        <v>31698.37</v>
      </c>
      <c r="H21">
        <v>34692.78</v>
      </c>
      <c r="I21">
        <v>48840.32</v>
      </c>
      <c r="J21">
        <v>58017.39</v>
      </c>
      <c r="K21">
        <v>62951.89</v>
      </c>
    </row>
    <row r="22" spans="1:11" s="2" customFormat="1" x14ac:dyDescent="0.3">
      <c r="A22" s="15" t="s">
        <v>77</v>
      </c>
      <c r="B22">
        <v>1003.97</v>
      </c>
      <c r="C22">
        <v>2749.4</v>
      </c>
      <c r="D22">
        <v>3807.61</v>
      </c>
      <c r="E22">
        <v>4763.12</v>
      </c>
      <c r="F22">
        <v>4704.41</v>
      </c>
      <c r="G22">
        <v>6567.43</v>
      </c>
      <c r="H22">
        <v>8775.51</v>
      </c>
      <c r="I22">
        <v>10380.16</v>
      </c>
      <c r="J22">
        <v>12094.51</v>
      </c>
      <c r="K22">
        <v>14152.53</v>
      </c>
    </row>
    <row r="23" spans="1:11" s="2" customFormat="1" x14ac:dyDescent="0.3">
      <c r="A23" s="15" t="s">
        <v>76</v>
      </c>
      <c r="B23">
        <v>661.03</v>
      </c>
      <c r="C23">
        <v>1822.37</v>
      </c>
      <c r="D23">
        <v>2125.92</v>
      </c>
      <c r="E23">
        <v>2841.03</v>
      </c>
      <c r="F23">
        <v>2381.91</v>
      </c>
      <c r="G23">
        <v>3322.4</v>
      </c>
      <c r="H23">
        <v>4848.28</v>
      </c>
      <c r="I23">
        <v>4583.79</v>
      </c>
      <c r="J23">
        <v>5297.7</v>
      </c>
      <c r="K23">
        <v>5708.91</v>
      </c>
    </row>
    <row r="24" spans="1:11" s="2" customFormat="1" x14ac:dyDescent="0.3">
      <c r="A24" s="15" t="s">
        <v>75</v>
      </c>
      <c r="B24">
        <v>14101.89</v>
      </c>
      <c r="C24">
        <v>16101.84</v>
      </c>
      <c r="D24">
        <v>2303.6999999999998</v>
      </c>
      <c r="E24">
        <v>4740.6499999999996</v>
      </c>
      <c r="F24">
        <v>6407.47</v>
      </c>
      <c r="G24">
        <v>5357.86</v>
      </c>
      <c r="H24">
        <v>3887.08</v>
      </c>
      <c r="I24">
        <v>5692.36</v>
      </c>
      <c r="J24">
        <v>8010.23</v>
      </c>
      <c r="K24">
        <v>10619.12</v>
      </c>
    </row>
    <row r="25" spans="1:11" s="2" customFormat="1" x14ac:dyDescent="0.3">
      <c r="A25" s="2" t="s">
        <v>21</v>
      </c>
      <c r="B25">
        <v>0.16</v>
      </c>
      <c r="C25">
        <v>1.49</v>
      </c>
      <c r="D25">
        <v>1.53</v>
      </c>
      <c r="E25">
        <v>0.36</v>
      </c>
      <c r="F25">
        <v>-6.87</v>
      </c>
      <c r="G25">
        <v>7.86</v>
      </c>
      <c r="H25">
        <v>1.46</v>
      </c>
      <c r="I25">
        <v>-3.86</v>
      </c>
      <c r="J25">
        <v>-18.350000000000001</v>
      </c>
      <c r="K25">
        <v>-382.27</v>
      </c>
    </row>
    <row r="26" spans="1:11" s="2" customFormat="1" x14ac:dyDescent="0.3">
      <c r="A26" s="2" t="s">
        <v>20</v>
      </c>
      <c r="B26">
        <v>72.63</v>
      </c>
      <c r="C26">
        <v>159.88999999999999</v>
      </c>
      <c r="D26">
        <v>226.09</v>
      </c>
      <c r="E26">
        <v>456.79</v>
      </c>
      <c r="F26">
        <v>498.46</v>
      </c>
      <c r="G26">
        <v>562.73</v>
      </c>
      <c r="H26">
        <v>677.8</v>
      </c>
      <c r="I26">
        <v>900.13</v>
      </c>
      <c r="J26">
        <v>1170.32</v>
      </c>
      <c r="K26">
        <v>1291.3599999999999</v>
      </c>
    </row>
    <row r="27" spans="1:11" s="2" customFormat="1" x14ac:dyDescent="0.3">
      <c r="A27" s="2" t="s">
        <v>19</v>
      </c>
      <c r="B27">
        <v>3716.28</v>
      </c>
      <c r="C27">
        <v>4531</v>
      </c>
      <c r="D27">
        <v>6657.4</v>
      </c>
      <c r="E27">
        <v>9499.61</v>
      </c>
      <c r="F27">
        <v>9273.6200000000008</v>
      </c>
      <c r="G27">
        <v>9629.4599999999991</v>
      </c>
      <c r="H27">
        <v>12380.26</v>
      </c>
      <c r="I27">
        <v>18606.53</v>
      </c>
      <c r="J27">
        <v>24587.32</v>
      </c>
      <c r="K27">
        <v>28540.94</v>
      </c>
    </row>
    <row r="28" spans="1:11" s="2" customFormat="1" x14ac:dyDescent="0.3">
      <c r="A28" s="2" t="s">
        <v>18</v>
      </c>
      <c r="B28">
        <v>4924.53</v>
      </c>
      <c r="C28">
        <v>6098.71</v>
      </c>
      <c r="D28">
        <v>8154.74</v>
      </c>
      <c r="E28">
        <v>8301.66</v>
      </c>
      <c r="F28">
        <v>9862.34</v>
      </c>
      <c r="G28">
        <v>11270.58</v>
      </c>
      <c r="H28">
        <v>16811.13</v>
      </c>
      <c r="I28">
        <v>21375.03</v>
      </c>
      <c r="J28">
        <v>23748.21</v>
      </c>
      <c r="K28">
        <v>26883.15</v>
      </c>
    </row>
    <row r="29" spans="1:11" s="2" customFormat="1" x14ac:dyDescent="0.3">
      <c r="A29" s="2" t="s">
        <v>17</v>
      </c>
      <c r="B29">
        <v>1474.82</v>
      </c>
      <c r="C29">
        <v>1922.36</v>
      </c>
      <c r="D29">
        <v>2780.89</v>
      </c>
      <c r="E29">
        <v>2308.06</v>
      </c>
      <c r="F29">
        <v>2494.96</v>
      </c>
      <c r="G29">
        <v>2957.05</v>
      </c>
      <c r="H29">
        <v>4601.59</v>
      </c>
      <c r="I29">
        <v>5779.67</v>
      </c>
      <c r="J29">
        <v>6190.57</v>
      </c>
      <c r="K29">
        <v>7213.68</v>
      </c>
    </row>
    <row r="30" spans="1:11" s="2" customFormat="1" x14ac:dyDescent="0.3">
      <c r="A30" s="2" t="s">
        <v>16</v>
      </c>
      <c r="B30">
        <v>2261.92</v>
      </c>
      <c r="C30">
        <v>2650.26</v>
      </c>
      <c r="D30">
        <v>3219.04</v>
      </c>
      <c r="E30">
        <v>3369.13</v>
      </c>
      <c r="F30">
        <v>4470.46</v>
      </c>
      <c r="G30">
        <v>4556.7700000000004</v>
      </c>
      <c r="H30">
        <v>6417.28</v>
      </c>
      <c r="I30">
        <v>8147.79</v>
      </c>
      <c r="J30">
        <v>8872.31</v>
      </c>
      <c r="K30">
        <v>9800.9699999999993</v>
      </c>
    </row>
    <row r="31" spans="1:11" s="2" customFormat="1" x14ac:dyDescent="0.3">
      <c r="A31" s="2" t="s">
        <v>74</v>
      </c>
      <c r="B31">
        <v>27.85</v>
      </c>
      <c r="C31">
        <v>27.85</v>
      </c>
      <c r="D31">
        <v>39.78</v>
      </c>
      <c r="E31">
        <v>79.569999999999993</v>
      </c>
      <c r="F31">
        <v>47.74</v>
      </c>
      <c r="G31">
        <v>63.66</v>
      </c>
      <c r="H31">
        <v>127.41</v>
      </c>
      <c r="I31">
        <v>159.41</v>
      </c>
      <c r="J31">
        <v>159.6</v>
      </c>
      <c r="K31">
        <v>239.8</v>
      </c>
    </row>
    <row r="32" spans="1:11" s="2" customFormat="1" x14ac:dyDescent="0.3"/>
    <row r="33" spans="1:11" x14ac:dyDescent="0.3">
      <c r="A33" s="2"/>
    </row>
    <row r="34" spans="1:11" x14ac:dyDescent="0.3">
      <c r="A34" s="2"/>
    </row>
    <row r="35" spans="1:11" x14ac:dyDescent="0.3">
      <c r="A35" s="2"/>
    </row>
    <row r="36" spans="1:11" x14ac:dyDescent="0.3">
      <c r="A36" s="2"/>
    </row>
    <row r="37" spans="1:11" x14ac:dyDescent="0.3">
      <c r="A37" s="2"/>
    </row>
    <row r="38" spans="1:11" x14ac:dyDescent="0.3">
      <c r="A38" s="2"/>
    </row>
    <row r="39" spans="1:11" x14ac:dyDescent="0.3">
      <c r="A39" s="2"/>
    </row>
    <row r="40" spans="1:11" x14ac:dyDescent="0.3">
      <c r="A40" s="1" t="s">
        <v>73</v>
      </c>
    </row>
    <row r="41" spans="1:11" s="23" customFormat="1" x14ac:dyDescent="0.3">
      <c r="A41" s="24" t="s">
        <v>65</v>
      </c>
      <c r="B41" s="7">
        <v>45382</v>
      </c>
      <c r="C41" s="7">
        <v>45473</v>
      </c>
      <c r="D41" s="7">
        <v>45565</v>
      </c>
      <c r="E41" s="7">
        <v>45657</v>
      </c>
      <c r="F41" s="7">
        <v>45747</v>
      </c>
      <c r="G41" s="7">
        <v>45838</v>
      </c>
      <c r="H41" s="7">
        <v>45930</v>
      </c>
      <c r="I41" s="7">
        <v>46022</v>
      </c>
      <c r="J41" s="7">
        <v>46112</v>
      </c>
      <c r="K41" s="7">
        <v>46203</v>
      </c>
    </row>
    <row r="42" spans="1:11" s="2" customFormat="1" x14ac:dyDescent="0.3">
      <c r="A42" s="2" t="s">
        <v>24</v>
      </c>
      <c r="B42">
        <v>32040.84</v>
      </c>
      <c r="C42">
        <v>31479.93</v>
      </c>
      <c r="D42">
        <v>33703.74</v>
      </c>
      <c r="E42">
        <v>32041.81</v>
      </c>
      <c r="F42">
        <v>36595.360000000001</v>
      </c>
      <c r="G42">
        <v>35287.760000000002</v>
      </c>
      <c r="H42">
        <v>37402.93</v>
      </c>
      <c r="I42">
        <v>39708.06</v>
      </c>
      <c r="J42">
        <v>38493.79</v>
      </c>
      <c r="K42">
        <v>42036.9</v>
      </c>
    </row>
    <row r="43" spans="1:11" s="2" customFormat="1" x14ac:dyDescent="0.3">
      <c r="A43" s="2" t="s">
        <v>23</v>
      </c>
      <c r="B43">
        <v>21108.3</v>
      </c>
      <c r="C43">
        <v>19655.12</v>
      </c>
      <c r="D43">
        <v>21420.27</v>
      </c>
      <c r="E43">
        <v>19668.63</v>
      </c>
      <c r="F43">
        <v>23867.86</v>
      </c>
      <c r="G43">
        <v>20972.57</v>
      </c>
      <c r="H43">
        <v>23352.48</v>
      </c>
      <c r="I43">
        <v>25841.71</v>
      </c>
      <c r="J43">
        <v>23983.07</v>
      </c>
      <c r="K43">
        <v>24896.29</v>
      </c>
    </row>
    <row r="44" spans="1:11" s="2" customFormat="1" x14ac:dyDescent="0.3">
      <c r="A44" s="2" t="s">
        <v>21</v>
      </c>
      <c r="B44">
        <v>4.42</v>
      </c>
      <c r="C44">
        <v>2.62</v>
      </c>
      <c r="D44">
        <v>3.45</v>
      </c>
      <c r="E44">
        <v>3.1</v>
      </c>
      <c r="F44">
        <v>10.1</v>
      </c>
      <c r="G44">
        <v>12.88</v>
      </c>
      <c r="H44">
        <v>3.2</v>
      </c>
      <c r="I44">
        <v>-377.79</v>
      </c>
      <c r="J44">
        <v>25.29</v>
      </c>
      <c r="K44">
        <v>5.1100000000000003</v>
      </c>
    </row>
    <row r="45" spans="1:11" s="2" customFormat="1" x14ac:dyDescent="0.3">
      <c r="A45" s="2" t="s">
        <v>20</v>
      </c>
      <c r="B45">
        <v>256.91000000000003</v>
      </c>
      <c r="C45">
        <v>267.01</v>
      </c>
      <c r="D45">
        <v>275.32</v>
      </c>
      <c r="E45">
        <v>288.5</v>
      </c>
      <c r="F45">
        <v>339.49</v>
      </c>
      <c r="G45">
        <v>317.33</v>
      </c>
      <c r="H45">
        <v>327.19</v>
      </c>
      <c r="I45">
        <v>329.83</v>
      </c>
      <c r="J45">
        <v>317.01</v>
      </c>
      <c r="K45">
        <v>379.68</v>
      </c>
    </row>
    <row r="46" spans="1:11" s="2" customFormat="1" x14ac:dyDescent="0.3">
      <c r="A46" s="2" t="s">
        <v>19</v>
      </c>
      <c r="B46">
        <v>5153.51</v>
      </c>
      <c r="C46">
        <v>5592.01</v>
      </c>
      <c r="D46">
        <v>6045.63</v>
      </c>
      <c r="E46">
        <v>6276.27</v>
      </c>
      <c r="F46">
        <v>6395.79</v>
      </c>
      <c r="G46">
        <v>6807.1</v>
      </c>
      <c r="H46">
        <v>6901.33</v>
      </c>
      <c r="I46">
        <v>7232.45</v>
      </c>
      <c r="J46">
        <v>7290.9</v>
      </c>
      <c r="K46">
        <v>7833.85</v>
      </c>
    </row>
    <row r="47" spans="1:11" s="2" customFormat="1" x14ac:dyDescent="0.3">
      <c r="A47" s="2" t="s">
        <v>18</v>
      </c>
      <c r="B47">
        <v>5526.54</v>
      </c>
      <c r="C47">
        <v>5968.41</v>
      </c>
      <c r="D47">
        <v>5965.97</v>
      </c>
      <c r="E47">
        <v>5811.51</v>
      </c>
      <c r="F47">
        <v>6002.32</v>
      </c>
      <c r="G47">
        <v>7203.64</v>
      </c>
      <c r="H47">
        <v>6825.13</v>
      </c>
      <c r="I47">
        <v>5926.28</v>
      </c>
      <c r="J47">
        <v>6928.1</v>
      </c>
      <c r="K47">
        <v>8932.19</v>
      </c>
    </row>
    <row r="48" spans="1:11" s="2" customFormat="1" x14ac:dyDescent="0.3">
      <c r="A48" s="2" t="s">
        <v>17</v>
      </c>
      <c r="B48">
        <v>1441.61</v>
      </c>
      <c r="C48">
        <v>1759.13</v>
      </c>
      <c r="D48">
        <v>1785.82</v>
      </c>
      <c r="E48">
        <v>1399.62</v>
      </c>
      <c r="F48">
        <v>1246</v>
      </c>
      <c r="G48">
        <v>1874.47</v>
      </c>
      <c r="H48">
        <v>2078.66</v>
      </c>
      <c r="I48">
        <v>1558.71</v>
      </c>
      <c r="J48">
        <v>1701.84</v>
      </c>
      <c r="K48">
        <v>2635.52</v>
      </c>
    </row>
    <row r="49" spans="1:11" s="2" customFormat="1" x14ac:dyDescent="0.3">
      <c r="A49" s="2" t="s">
        <v>16</v>
      </c>
      <c r="B49">
        <v>2118.5300000000002</v>
      </c>
      <c r="C49">
        <v>2137.6999999999998</v>
      </c>
      <c r="D49">
        <v>2086.9699999999998</v>
      </c>
      <c r="E49">
        <v>2231</v>
      </c>
      <c r="F49">
        <v>2416.64</v>
      </c>
      <c r="G49">
        <v>2789.05</v>
      </c>
      <c r="H49">
        <v>2244.1</v>
      </c>
      <c r="I49">
        <v>2229.15</v>
      </c>
      <c r="J49">
        <v>2538.67</v>
      </c>
      <c r="K49">
        <v>3132.35</v>
      </c>
    </row>
    <row r="50" spans="1:11" x14ac:dyDescent="0.3">
      <c r="A50" s="2" t="s">
        <v>22</v>
      </c>
      <c r="B50">
        <v>10932.54</v>
      </c>
      <c r="C50">
        <v>11824.81</v>
      </c>
      <c r="D50">
        <v>12283.47</v>
      </c>
      <c r="E50">
        <v>12373.18</v>
      </c>
      <c r="F50">
        <v>12727.5</v>
      </c>
      <c r="G50">
        <v>14315.19</v>
      </c>
      <c r="H50">
        <v>14050.45</v>
      </c>
      <c r="I50">
        <v>13866.35</v>
      </c>
      <c r="J50">
        <v>14510.72</v>
      </c>
      <c r="K50">
        <v>17140.61</v>
      </c>
    </row>
    <row r="51" spans="1:11" x14ac:dyDescent="0.3">
      <c r="A51" s="2"/>
    </row>
    <row r="52" spans="1:11" x14ac:dyDescent="0.3">
      <c r="A52" s="2"/>
    </row>
    <row r="53" spans="1:11" x14ac:dyDescent="0.3">
      <c r="A53" s="2"/>
    </row>
    <row r="54" spans="1:11" x14ac:dyDescent="0.3">
      <c r="A54" s="2"/>
    </row>
    <row r="55" spans="1:11" x14ac:dyDescent="0.3">
      <c r="A55" s="1" t="s">
        <v>72</v>
      </c>
    </row>
    <row r="56" spans="1:11" s="23" customFormat="1" x14ac:dyDescent="0.3">
      <c r="A56" s="24" t="s">
        <v>65</v>
      </c>
      <c r="B56" s="7">
        <v>42825</v>
      </c>
      <c r="C56" s="7">
        <v>43190</v>
      </c>
      <c r="D56" s="7">
        <v>43555</v>
      </c>
      <c r="E56" s="7">
        <v>43921</v>
      </c>
      <c r="F56" s="7">
        <v>44286</v>
      </c>
      <c r="G56" s="7">
        <v>44651</v>
      </c>
      <c r="H56" s="7">
        <v>45016</v>
      </c>
      <c r="I56" s="7">
        <v>45382</v>
      </c>
      <c r="J56" s="7">
        <v>45747</v>
      </c>
      <c r="K56" s="7">
        <v>46112</v>
      </c>
    </row>
    <row r="57" spans="1:11" x14ac:dyDescent="0.3">
      <c r="A57" s="2" t="s">
        <v>45</v>
      </c>
      <c r="B57">
        <v>79.569999999999993</v>
      </c>
      <c r="C57">
        <v>79.569999999999993</v>
      </c>
      <c r="D57">
        <v>79.569999999999993</v>
      </c>
      <c r="E57">
        <v>79.569999999999993</v>
      </c>
      <c r="F57">
        <v>79.569999999999993</v>
      </c>
      <c r="G57">
        <v>79.569999999999993</v>
      </c>
      <c r="H57">
        <v>159.26</v>
      </c>
      <c r="I57">
        <v>159.41</v>
      </c>
      <c r="J57">
        <v>159.6</v>
      </c>
      <c r="K57">
        <v>159.87</v>
      </c>
    </row>
    <row r="58" spans="1:11" x14ac:dyDescent="0.3">
      <c r="A58" s="2" t="s">
        <v>44</v>
      </c>
      <c r="B58">
        <v>16070.76</v>
      </c>
      <c r="C58">
        <v>20403.37</v>
      </c>
      <c r="D58">
        <v>23660.5</v>
      </c>
      <c r="E58">
        <v>31221.68</v>
      </c>
      <c r="F58">
        <v>35750.43</v>
      </c>
      <c r="G58">
        <v>40167.230000000003</v>
      </c>
      <c r="H58">
        <v>46248.08</v>
      </c>
      <c r="I58">
        <v>60169.23</v>
      </c>
      <c r="J58">
        <v>72235.710000000006</v>
      </c>
      <c r="K58">
        <v>77754.66</v>
      </c>
    </row>
    <row r="59" spans="1:11" x14ac:dyDescent="0.3">
      <c r="A59" s="2" t="s">
        <v>43</v>
      </c>
      <c r="B59">
        <v>48282.04</v>
      </c>
      <c r="C59">
        <v>65694.720000000001</v>
      </c>
      <c r="D59">
        <v>99754.35</v>
      </c>
      <c r="E59">
        <v>127212.03</v>
      </c>
      <c r="F59">
        <v>128460.85</v>
      </c>
      <c r="G59">
        <v>161179.18</v>
      </c>
      <c r="H59">
        <v>212264.97</v>
      </c>
      <c r="I59">
        <v>288932.62</v>
      </c>
      <c r="J59">
        <v>355854.65</v>
      </c>
      <c r="K59">
        <v>429913.96</v>
      </c>
    </row>
    <row r="60" spans="1:11" x14ac:dyDescent="0.3">
      <c r="A60" s="2" t="s">
        <v>42</v>
      </c>
      <c r="B60">
        <v>64181.29</v>
      </c>
      <c r="C60">
        <v>75336.600000000006</v>
      </c>
      <c r="D60">
        <v>84933.759999999995</v>
      </c>
      <c r="E60">
        <v>92790.87</v>
      </c>
      <c r="F60">
        <v>115553.86</v>
      </c>
      <c r="G60">
        <v>131987.23000000001</v>
      </c>
      <c r="H60">
        <v>146728.84</v>
      </c>
      <c r="I60">
        <v>188153.88</v>
      </c>
      <c r="J60">
        <v>223269.14</v>
      </c>
      <c r="K60">
        <v>250666.25</v>
      </c>
    </row>
    <row r="61" spans="1:11" s="1" customFormat="1" x14ac:dyDescent="0.3">
      <c r="A61" s="1" t="s">
        <v>37</v>
      </c>
      <c r="B61">
        <v>128613.66</v>
      </c>
      <c r="C61">
        <v>161514.26</v>
      </c>
      <c r="D61">
        <v>208428.18</v>
      </c>
      <c r="E61">
        <v>251304.15</v>
      </c>
      <c r="F61">
        <v>279844.71000000002</v>
      </c>
      <c r="G61">
        <v>333413.21000000002</v>
      </c>
      <c r="H61">
        <v>405401.15</v>
      </c>
      <c r="I61">
        <v>537415.14</v>
      </c>
      <c r="J61">
        <v>651519.1</v>
      </c>
      <c r="K61">
        <v>758494.74</v>
      </c>
    </row>
    <row r="62" spans="1:11" x14ac:dyDescent="0.3">
      <c r="A62" s="2" t="s">
        <v>41</v>
      </c>
      <c r="B62">
        <v>1645.4</v>
      </c>
      <c r="C62">
        <v>1791.85</v>
      </c>
      <c r="D62">
        <v>2096.83</v>
      </c>
      <c r="E62">
        <v>3215.62</v>
      </c>
      <c r="F62">
        <v>3182.1</v>
      </c>
      <c r="G62">
        <v>3585.58</v>
      </c>
      <c r="H62">
        <v>4336.01</v>
      </c>
      <c r="I62">
        <v>5455.34</v>
      </c>
      <c r="J62">
        <v>6297.13</v>
      </c>
      <c r="K62">
        <v>6729.07</v>
      </c>
    </row>
    <row r="63" spans="1:11" x14ac:dyDescent="0.3">
      <c r="A63" s="2" t="s">
        <v>40</v>
      </c>
      <c r="B63">
        <v>3.54</v>
      </c>
      <c r="C63">
        <v>27.7</v>
      </c>
      <c r="D63">
        <v>65.510000000000005</v>
      </c>
      <c r="E63">
        <v>44.69</v>
      </c>
      <c r="F63">
        <v>128.85</v>
      </c>
      <c r="G63">
        <v>112.81</v>
      </c>
      <c r="H63">
        <v>191.27</v>
      </c>
      <c r="I63">
        <v>220.08</v>
      </c>
      <c r="J63">
        <v>314.02999999999997</v>
      </c>
      <c r="K63">
        <v>321.31</v>
      </c>
    </row>
    <row r="64" spans="1:11" x14ac:dyDescent="0.3">
      <c r="A64" s="2" t="s">
        <v>39</v>
      </c>
      <c r="B64">
        <v>62658.46</v>
      </c>
      <c r="C64">
        <v>69428.479999999996</v>
      </c>
      <c r="D64">
        <v>81679.06</v>
      </c>
      <c r="E64">
        <v>91821.05</v>
      </c>
      <c r="F64">
        <v>113654.41</v>
      </c>
      <c r="G64">
        <v>119222.08</v>
      </c>
      <c r="H64">
        <v>136175.73000000001</v>
      </c>
      <c r="I64">
        <v>170126.84</v>
      </c>
      <c r="J64">
        <v>190129.78</v>
      </c>
      <c r="K64">
        <v>194413.54</v>
      </c>
    </row>
    <row r="65" spans="1:11" x14ac:dyDescent="0.3">
      <c r="A65" s="2" t="s">
        <v>38</v>
      </c>
      <c r="B65">
        <v>64306.26</v>
      </c>
      <c r="C65">
        <v>90266.23</v>
      </c>
      <c r="D65">
        <v>124586.78</v>
      </c>
      <c r="E65">
        <v>156222.79</v>
      </c>
      <c r="F65">
        <v>162879.35</v>
      </c>
      <c r="G65">
        <v>210492.74</v>
      </c>
      <c r="H65">
        <v>264698.14</v>
      </c>
      <c r="I65">
        <v>361612.88</v>
      </c>
      <c r="J65">
        <v>454778.16</v>
      </c>
      <c r="K65">
        <v>557030.81999999995</v>
      </c>
    </row>
    <row r="66" spans="1:11" s="1" customFormat="1" x14ac:dyDescent="0.3">
      <c r="A66" s="1" t="s">
        <v>37</v>
      </c>
      <c r="B66">
        <v>128613.66</v>
      </c>
      <c r="C66">
        <v>161514.26</v>
      </c>
      <c r="D66">
        <v>208428.18</v>
      </c>
      <c r="E66">
        <v>251304.15</v>
      </c>
      <c r="F66">
        <v>279844.71000000002</v>
      </c>
      <c r="G66">
        <v>333413.21000000002</v>
      </c>
      <c r="H66">
        <v>405401.15</v>
      </c>
      <c r="I66">
        <v>537415.14</v>
      </c>
      <c r="J66">
        <v>651519.1</v>
      </c>
      <c r="K66">
        <v>758494.74</v>
      </c>
    </row>
    <row r="67" spans="1:11" s="2" customFormat="1" x14ac:dyDescent="0.3">
      <c r="A67" s="2" t="s">
        <v>71</v>
      </c>
      <c r="B67">
        <v>1253.1199999999999</v>
      </c>
      <c r="C67">
        <v>1753.28</v>
      </c>
      <c r="D67">
        <v>2273.08</v>
      </c>
      <c r="E67">
        <v>2657.81</v>
      </c>
      <c r="F67">
        <v>2753.07</v>
      </c>
      <c r="G67">
        <v>3004.81</v>
      </c>
      <c r="H67">
        <v>3458.64</v>
      </c>
      <c r="I67">
        <v>5973.86</v>
      </c>
      <c r="J67">
        <v>8319.35</v>
      </c>
      <c r="K67">
        <v>9332.08</v>
      </c>
    </row>
    <row r="68" spans="1:11" x14ac:dyDescent="0.3">
      <c r="A68" s="2" t="s">
        <v>34</v>
      </c>
    </row>
    <row r="69" spans="1:11" x14ac:dyDescent="0.3">
      <c r="A69" s="15" t="s">
        <v>70</v>
      </c>
      <c r="B69">
        <v>1498.67</v>
      </c>
      <c r="C69">
        <v>1606.44</v>
      </c>
      <c r="D69">
        <v>1588.89</v>
      </c>
      <c r="E69">
        <v>2525.23</v>
      </c>
      <c r="F69">
        <v>3410.49</v>
      </c>
      <c r="G69">
        <v>4403.03</v>
      </c>
      <c r="H69">
        <v>5377.22</v>
      </c>
      <c r="I69">
        <v>12386.66</v>
      </c>
      <c r="J69">
        <v>15736.8</v>
      </c>
      <c r="K69">
        <v>17618.04</v>
      </c>
    </row>
    <row r="70" spans="1:11" x14ac:dyDescent="0.3">
      <c r="A70" s="15" t="s">
        <v>69</v>
      </c>
      <c r="B70">
        <v>159131780</v>
      </c>
      <c r="C70">
        <v>159135097</v>
      </c>
      <c r="D70">
        <v>159136111</v>
      </c>
      <c r="E70">
        <v>159137290</v>
      </c>
      <c r="F70">
        <v>159137290</v>
      </c>
      <c r="G70">
        <v>159137290</v>
      </c>
      <c r="H70">
        <v>1592815460</v>
      </c>
      <c r="I70">
        <v>1595488813</v>
      </c>
      <c r="J70">
        <v>1596662097</v>
      </c>
      <c r="K70">
        <v>1600549988</v>
      </c>
    </row>
    <row r="71" spans="1:11" x14ac:dyDescent="0.3">
      <c r="A71" s="15" t="s">
        <v>68</v>
      </c>
      <c r="H71">
        <v>796407730</v>
      </c>
    </row>
    <row r="72" spans="1:11" x14ac:dyDescent="0.3">
      <c r="A72" s="15" t="s">
        <v>67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2"/>
    </row>
    <row r="75" spans="1:11" x14ac:dyDescent="0.3">
      <c r="A75" s="2"/>
    </row>
    <row r="76" spans="1:11" x14ac:dyDescent="0.3">
      <c r="A76" s="2"/>
    </row>
    <row r="77" spans="1:11" x14ac:dyDescent="0.3">
      <c r="A77" s="2"/>
    </row>
    <row r="78" spans="1:11" x14ac:dyDescent="0.3">
      <c r="A78" s="2"/>
    </row>
    <row r="79" spans="1:11" x14ac:dyDescent="0.3">
      <c r="A79" s="2"/>
    </row>
    <row r="80" spans="1:11" x14ac:dyDescent="0.3">
      <c r="A80" s="1" t="s">
        <v>66</v>
      </c>
    </row>
    <row r="81" spans="1:11" s="23" customFormat="1" x14ac:dyDescent="0.3">
      <c r="A81" s="24" t="s">
        <v>65</v>
      </c>
      <c r="B81" s="7">
        <v>42825</v>
      </c>
      <c r="C81" s="7">
        <v>43190</v>
      </c>
      <c r="D81" s="7">
        <v>43555</v>
      </c>
      <c r="E81" s="7">
        <v>43921</v>
      </c>
      <c r="F81" s="7">
        <v>44286</v>
      </c>
      <c r="G81" s="7">
        <v>44651</v>
      </c>
      <c r="H81" s="7">
        <v>45016</v>
      </c>
      <c r="I81" s="7">
        <v>45382</v>
      </c>
      <c r="J81" s="7">
        <v>45747</v>
      </c>
      <c r="K81" s="7">
        <v>46112</v>
      </c>
    </row>
    <row r="82" spans="1:11" s="1" customFormat="1" x14ac:dyDescent="0.3">
      <c r="A82" s="2" t="s">
        <v>49</v>
      </c>
      <c r="B82">
        <v>-10922.24</v>
      </c>
      <c r="C82">
        <v>-19580.16</v>
      </c>
      <c r="D82">
        <v>-27076.37</v>
      </c>
      <c r="E82">
        <v>-23369.03</v>
      </c>
      <c r="F82">
        <v>4547.3999999999996</v>
      </c>
      <c r="G82">
        <v>-33669.99</v>
      </c>
      <c r="H82">
        <v>-39479.54</v>
      </c>
      <c r="I82">
        <v>-65502.04</v>
      </c>
      <c r="J82">
        <v>-61750.42</v>
      </c>
      <c r="K82">
        <v>-55301.41</v>
      </c>
    </row>
    <row r="83" spans="1:11" s="2" customFormat="1" x14ac:dyDescent="0.3">
      <c r="A83" s="2" t="s">
        <v>48</v>
      </c>
      <c r="B83">
        <v>151.30000000000001</v>
      </c>
      <c r="C83">
        <v>-921.5</v>
      </c>
      <c r="D83">
        <v>-6903.41</v>
      </c>
      <c r="E83">
        <v>-9948</v>
      </c>
      <c r="F83">
        <v>-3683.8</v>
      </c>
      <c r="G83">
        <v>1445.43</v>
      </c>
      <c r="H83">
        <v>-13945.21</v>
      </c>
      <c r="I83">
        <v>-14131.71</v>
      </c>
      <c r="J83">
        <v>-7986.54</v>
      </c>
      <c r="K83">
        <v>-12634.87</v>
      </c>
    </row>
    <row r="84" spans="1:11" s="2" customFormat="1" x14ac:dyDescent="0.3">
      <c r="A84" s="2" t="s">
        <v>47</v>
      </c>
      <c r="B84">
        <v>12512.74</v>
      </c>
      <c r="C84">
        <v>19590.169999999998</v>
      </c>
      <c r="D84">
        <v>34534.82</v>
      </c>
      <c r="E84">
        <v>34479.35</v>
      </c>
      <c r="F84">
        <v>1686.95</v>
      </c>
      <c r="G84">
        <v>32325.759999999998</v>
      </c>
      <c r="H84">
        <v>51016.06</v>
      </c>
      <c r="I84">
        <v>82708.61</v>
      </c>
      <c r="J84">
        <v>69828.479999999996</v>
      </c>
      <c r="K84">
        <v>66610.320000000007</v>
      </c>
    </row>
    <row r="85" spans="1:11" s="1" customFormat="1" x14ac:dyDescent="0.3">
      <c r="A85" s="2" t="s">
        <v>46</v>
      </c>
      <c r="B85">
        <v>1741.8</v>
      </c>
      <c r="C85">
        <v>-911.49</v>
      </c>
      <c r="D85">
        <v>555.04</v>
      </c>
      <c r="E85">
        <v>1162.32</v>
      </c>
      <c r="F85">
        <v>2550.5500000000002</v>
      </c>
      <c r="G85">
        <v>101.2</v>
      </c>
      <c r="H85">
        <v>-2408.69</v>
      </c>
      <c r="I85">
        <v>3074.86</v>
      </c>
      <c r="J85">
        <v>91.52</v>
      </c>
      <c r="K85">
        <v>-1325.96</v>
      </c>
    </row>
    <row r="86" spans="1:11" x14ac:dyDescent="0.3">
      <c r="A86" s="2"/>
    </row>
    <row r="87" spans="1:11" x14ac:dyDescent="0.3">
      <c r="A87" s="2"/>
    </row>
    <row r="88" spans="1:11" x14ac:dyDescent="0.3">
      <c r="A88" s="2"/>
    </row>
    <row r="89" spans="1:11" x14ac:dyDescent="0.3">
      <c r="A89" s="2"/>
    </row>
    <row r="90" spans="1:11" s="1" customFormat="1" x14ac:dyDescent="0.3">
      <c r="A90" s="1" t="s">
        <v>64</v>
      </c>
      <c r="B90">
        <v>409.84</v>
      </c>
      <c r="C90">
        <v>517.16</v>
      </c>
      <c r="D90">
        <v>703.71</v>
      </c>
      <c r="E90">
        <v>459.12</v>
      </c>
      <c r="F90">
        <v>966.86</v>
      </c>
      <c r="G90">
        <v>1706.05</v>
      </c>
      <c r="H90">
        <v>1266.5</v>
      </c>
      <c r="I90">
        <v>1643.85</v>
      </c>
      <c r="J90">
        <v>2007.35</v>
      </c>
      <c r="K90">
        <v>1631.8</v>
      </c>
    </row>
    <row r="92" spans="1:11" s="1" customFormat="1" x14ac:dyDescent="0.3">
      <c r="A92" s="1" t="s">
        <v>63</v>
      </c>
    </row>
    <row r="93" spans="1:11" x14ac:dyDescent="0.3">
      <c r="A93" s="15" t="s">
        <v>62</v>
      </c>
      <c r="B93" s="22">
        <v>159.15</v>
      </c>
      <c r="C93" s="22">
        <v>159.15</v>
      </c>
      <c r="D93" s="22">
        <v>159.15</v>
      </c>
      <c r="E93" s="22">
        <v>159.15</v>
      </c>
      <c r="F93" s="22">
        <v>159.15</v>
      </c>
      <c r="G93" s="22">
        <v>159.15</v>
      </c>
      <c r="H93" s="22">
        <v>159.28</v>
      </c>
      <c r="I93" s="22">
        <v>159.55000000000001</v>
      </c>
      <c r="J93" s="22">
        <v>159.66999999999999</v>
      </c>
      <c r="K93" s="22">
        <v>160.06</v>
      </c>
    </row>
  </sheetData>
  <mergeCells count="2">
    <mergeCell ref="E1:K1"/>
    <mergeCell ref="E2:K2"/>
  </mergeCells>
  <conditionalFormatting sqref="E1:K1">
    <cfRule type="cellIs" dxfId="2" priority="1" operator="notEqual">
      <formula>""</formula>
    </cfRule>
  </conditionalFormatting>
  <hyperlinks>
    <hyperlink ref="E1:K1" r:id="rId1" display="https://www.screener.in/excel/" xr:uid="{2C597CAB-B522-4F3A-8BBB-D3FA6D6C4DF3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F99B-FC25-470F-9543-8E26BA585D56}">
  <sheetPr>
    <pageSetUpPr fitToPage="1"/>
  </sheetPr>
  <dimension ref="A1:K24"/>
  <sheetViews>
    <sheetView zoomScale="150" zoomScaleNormal="150" zoomScalePageLayoutView="150"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5" customFormat="1" x14ac:dyDescent="0.3">
      <c r="A1" s="5" t="str">
        <f>'Balance Sheet'!A1</f>
        <v>BAJAJ FINSERV LTD</v>
      </c>
      <c r="E1" t="str">
        <f>UPDATE</f>
        <v/>
      </c>
      <c r="F1"/>
      <c r="J1" s="5" t="s">
        <v>29</v>
      </c>
    </row>
    <row r="3" spans="1:11" s="5" customFormat="1" x14ac:dyDescent="0.3">
      <c r="A3" s="8" t="s">
        <v>28</v>
      </c>
      <c r="B3" s="7">
        <f>'Data Sheet'!B81</f>
        <v>42825</v>
      </c>
      <c r="C3" s="7">
        <f>'Data Sheet'!C81</f>
        <v>43190</v>
      </c>
      <c r="D3" s="7">
        <f>'Data Sheet'!D81</f>
        <v>43555</v>
      </c>
      <c r="E3" s="7">
        <f>'Data Sheet'!E81</f>
        <v>43921</v>
      </c>
      <c r="F3" s="7">
        <f>'Data Sheet'!F81</f>
        <v>44286</v>
      </c>
      <c r="G3" s="7">
        <f>'Data Sheet'!G81</f>
        <v>44651</v>
      </c>
      <c r="H3" s="7">
        <f>'Data Sheet'!H81</f>
        <v>45016</v>
      </c>
      <c r="I3" s="7">
        <f>'Data Sheet'!I81</f>
        <v>45382</v>
      </c>
      <c r="J3" s="7">
        <f>'Data Sheet'!J81</f>
        <v>45747</v>
      </c>
      <c r="K3" s="7">
        <f>'Data Sheet'!K81</f>
        <v>46112</v>
      </c>
    </row>
    <row r="4" spans="1:11" s="5" customFormat="1" x14ac:dyDescent="0.3">
      <c r="A4" s="5" t="s">
        <v>49</v>
      </c>
      <c r="B4" s="1">
        <f>'Data Sheet'!B82</f>
        <v>-10922.24</v>
      </c>
      <c r="C4" s="1">
        <f>'Data Sheet'!C82</f>
        <v>-19580.16</v>
      </c>
      <c r="D4" s="1">
        <f>'Data Sheet'!D82</f>
        <v>-27076.37</v>
      </c>
      <c r="E4" s="1">
        <f>'Data Sheet'!E82</f>
        <v>-23369.03</v>
      </c>
      <c r="F4" s="1">
        <f>'Data Sheet'!F82</f>
        <v>4547.3999999999996</v>
      </c>
      <c r="G4" s="1">
        <f>'Data Sheet'!G82</f>
        <v>-33669.99</v>
      </c>
      <c r="H4" s="1">
        <f>'Data Sheet'!H82</f>
        <v>-39479.54</v>
      </c>
      <c r="I4" s="1">
        <f>'Data Sheet'!I82</f>
        <v>-65502.04</v>
      </c>
      <c r="J4" s="1">
        <f>'Data Sheet'!J82</f>
        <v>-61750.42</v>
      </c>
      <c r="K4" s="1">
        <f>'Data Sheet'!K82</f>
        <v>-55301.41</v>
      </c>
    </row>
    <row r="5" spans="1:11" x14ac:dyDescent="0.3">
      <c r="A5" t="s">
        <v>48</v>
      </c>
      <c r="B5" s="2">
        <f>'Data Sheet'!B83</f>
        <v>151.30000000000001</v>
      </c>
      <c r="C5" s="2">
        <f>'Data Sheet'!C83</f>
        <v>-921.5</v>
      </c>
      <c r="D5" s="2">
        <f>'Data Sheet'!D83</f>
        <v>-6903.41</v>
      </c>
      <c r="E5" s="2">
        <f>'Data Sheet'!E83</f>
        <v>-9948</v>
      </c>
      <c r="F5" s="2">
        <f>'Data Sheet'!F83</f>
        <v>-3683.8</v>
      </c>
      <c r="G5" s="2">
        <f>'Data Sheet'!G83</f>
        <v>1445.43</v>
      </c>
      <c r="H5" s="2">
        <f>'Data Sheet'!H83</f>
        <v>-13945.21</v>
      </c>
      <c r="I5" s="2">
        <f>'Data Sheet'!I83</f>
        <v>-14131.71</v>
      </c>
      <c r="J5" s="2">
        <f>'Data Sheet'!J83</f>
        <v>-7986.54</v>
      </c>
      <c r="K5" s="2">
        <f>'Data Sheet'!K83</f>
        <v>-12634.87</v>
      </c>
    </row>
    <row r="6" spans="1:11" x14ac:dyDescent="0.3">
      <c r="A6" t="s">
        <v>47</v>
      </c>
      <c r="B6" s="2">
        <f>'Data Sheet'!B84</f>
        <v>12512.74</v>
      </c>
      <c r="C6" s="2">
        <f>'Data Sheet'!C84</f>
        <v>19590.169999999998</v>
      </c>
      <c r="D6" s="2">
        <f>'Data Sheet'!D84</f>
        <v>34534.82</v>
      </c>
      <c r="E6" s="2">
        <f>'Data Sheet'!E84</f>
        <v>34479.35</v>
      </c>
      <c r="F6" s="2">
        <f>'Data Sheet'!F84</f>
        <v>1686.95</v>
      </c>
      <c r="G6" s="2">
        <f>'Data Sheet'!G84</f>
        <v>32325.759999999998</v>
      </c>
      <c r="H6" s="2">
        <f>'Data Sheet'!H84</f>
        <v>51016.06</v>
      </c>
      <c r="I6" s="2">
        <f>'Data Sheet'!I84</f>
        <v>82708.61</v>
      </c>
      <c r="J6" s="2">
        <f>'Data Sheet'!J84</f>
        <v>69828.479999999996</v>
      </c>
      <c r="K6" s="2">
        <f>'Data Sheet'!K84</f>
        <v>66610.320000000007</v>
      </c>
    </row>
    <row r="7" spans="1:11" s="5" customFormat="1" x14ac:dyDescent="0.3">
      <c r="A7" s="5" t="s">
        <v>46</v>
      </c>
      <c r="B7" s="1">
        <f>'Data Sheet'!B85</f>
        <v>1741.8</v>
      </c>
      <c r="C7" s="1">
        <f>'Data Sheet'!C85</f>
        <v>-911.49</v>
      </c>
      <c r="D7" s="1">
        <f>'Data Sheet'!D85</f>
        <v>555.04</v>
      </c>
      <c r="E7" s="1">
        <f>'Data Sheet'!E85</f>
        <v>1162.32</v>
      </c>
      <c r="F7" s="1">
        <f>'Data Sheet'!F85</f>
        <v>2550.5500000000002</v>
      </c>
      <c r="G7" s="1">
        <f>'Data Sheet'!G85</f>
        <v>101.2</v>
      </c>
      <c r="H7" s="1">
        <f>'Data Sheet'!H85</f>
        <v>-2408.69</v>
      </c>
      <c r="I7" s="1">
        <f>'Data Sheet'!I85</f>
        <v>3074.86</v>
      </c>
      <c r="J7" s="1">
        <f>'Data Sheet'!J85</f>
        <v>91.52</v>
      </c>
      <c r="K7" s="1">
        <f>'Data Sheet'!K85</f>
        <v>-1325.96</v>
      </c>
    </row>
    <row r="8" spans="1:11" x14ac:dyDescent="0.3">
      <c r="B8" s="2"/>
      <c r="C8" s="2"/>
      <c r="D8" s="2"/>
      <c r="E8" s="2"/>
      <c r="F8" s="2"/>
      <c r="G8" s="2"/>
      <c r="H8" s="2"/>
      <c r="I8" s="2"/>
      <c r="J8" s="2"/>
      <c r="K8" s="2"/>
    </row>
    <row r="24" customFormat="1" x14ac:dyDescent="0.3"/>
  </sheetData>
  <hyperlinks>
    <hyperlink ref="J1" r:id="rId1" xr:uid="{5F257E53-F9EC-4585-A7A8-F008C1C0ABE3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B979-AEC6-4ACB-B8E3-BEDD08C12F08}">
  <sheetPr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5" customFormat="1" x14ac:dyDescent="0.3">
      <c r="A1" s="5" t="str">
        <f>'Data Sheet (2)'!B1</f>
        <v>L&amp;T FINANCE LTD</v>
      </c>
      <c r="H1" t="str">
        <f>UPDATE</f>
        <v/>
      </c>
      <c r="J1" s="12"/>
      <c r="K1" s="12"/>
      <c r="M1" s="5" t="s">
        <v>29</v>
      </c>
    </row>
    <row r="3" spans="1:14" s="5" customFormat="1" x14ac:dyDescent="0.3">
      <c r="A3" s="8" t="s">
        <v>28</v>
      </c>
      <c r="B3" s="7">
        <f>'Data Sheet (2)'!B16</f>
        <v>42825</v>
      </c>
      <c r="C3" s="7">
        <f>'Data Sheet (2)'!C16</f>
        <v>43190</v>
      </c>
      <c r="D3" s="7">
        <f>'Data Sheet (2)'!D16</f>
        <v>43555</v>
      </c>
      <c r="E3" s="7">
        <f>'Data Sheet (2)'!E16</f>
        <v>43921</v>
      </c>
      <c r="F3" s="7">
        <f>'Data Sheet (2)'!F16</f>
        <v>44286</v>
      </c>
      <c r="G3" s="7">
        <f>'Data Sheet (2)'!G16</f>
        <v>44651</v>
      </c>
      <c r="H3" s="7">
        <f>'Data Sheet (2)'!H16</f>
        <v>45016</v>
      </c>
      <c r="I3" s="7">
        <f>'Data Sheet (2)'!I16</f>
        <v>45382</v>
      </c>
      <c r="J3" s="7">
        <f>'Data Sheet (2)'!J16</f>
        <v>45747</v>
      </c>
      <c r="K3" s="7">
        <f>'Data Sheet (2)'!K16</f>
        <v>46112</v>
      </c>
      <c r="L3" s="6" t="s">
        <v>27</v>
      </c>
      <c r="M3" s="6" t="s">
        <v>26</v>
      </c>
      <c r="N3" s="6" t="s">
        <v>25</v>
      </c>
    </row>
    <row r="4" spans="1:14" s="5" customFormat="1" x14ac:dyDescent="0.3">
      <c r="A4" s="5" t="s">
        <v>24</v>
      </c>
      <c r="B4" s="1">
        <f>'Data Sheet (2)'!B17</f>
        <v>8531.58</v>
      </c>
      <c r="C4" s="1">
        <f>'Data Sheet (2)'!C17</f>
        <v>10214.549999999999</v>
      </c>
      <c r="D4" s="1">
        <f>'Data Sheet (2)'!D17</f>
        <v>13364.93</v>
      </c>
      <c r="E4" s="1">
        <f>'Data Sheet (2)'!E17</f>
        <v>14104.12</v>
      </c>
      <c r="F4" s="1">
        <f>'Data Sheet (2)'!F17</f>
        <v>13352.85</v>
      </c>
      <c r="G4" s="1">
        <f>'Data Sheet (2)'!G17</f>
        <v>11929.7</v>
      </c>
      <c r="H4" s="1">
        <f>'Data Sheet (2)'!H17</f>
        <v>12774.95</v>
      </c>
      <c r="I4" s="1">
        <f>'Data Sheet (2)'!I17</f>
        <v>14251.71</v>
      </c>
      <c r="J4" s="1">
        <f>'Data Sheet (2)'!J17</f>
        <v>15924.24</v>
      </c>
      <c r="K4" s="1">
        <f>'Data Sheet (2)'!K17</f>
        <v>17913.669999999998</v>
      </c>
      <c r="L4" s="1">
        <f>SUM('Quarters (2)'!H4:K4)</f>
        <v>18897.97</v>
      </c>
      <c r="M4" s="1">
        <f>$K4+M23*K4</f>
        <v>20151.641325984783</v>
      </c>
      <c r="N4" s="1">
        <f>$K4+N23*L4</f>
        <v>18721.27619450046</v>
      </c>
    </row>
    <row r="5" spans="1:14" x14ac:dyDescent="0.3">
      <c r="A5" t="s">
        <v>23</v>
      </c>
      <c r="B5" s="2">
        <f>SUM('Data Sheet (2)'!B18,'Data Sheet (2)'!B20:B24, -1*'Data Sheet (2)'!B19)</f>
        <v>2775.95</v>
      </c>
      <c r="C5" s="2">
        <f>SUM('Data Sheet (2)'!C18,'Data Sheet (2)'!C20:C24, -1*'Data Sheet (2)'!C19)</f>
        <v>3307.8100000000004</v>
      </c>
      <c r="D5" s="2">
        <f>SUM('Data Sheet (2)'!D18,'Data Sheet (2)'!D20:D24, -1*'Data Sheet (2)'!D19)</f>
        <v>3377.3199999999997</v>
      </c>
      <c r="E5" s="2">
        <f>SUM('Data Sheet (2)'!E18,'Data Sheet (2)'!E20:E24, -1*'Data Sheet (2)'!E19)</f>
        <v>4160.17</v>
      </c>
      <c r="F5" s="2">
        <f>SUM('Data Sheet (2)'!F18,'Data Sheet (2)'!F20:F24, -1*'Data Sheet (2)'!F19)</f>
        <v>5401.17</v>
      </c>
      <c r="G5" s="2">
        <f>SUM('Data Sheet (2)'!G18,'Data Sheet (2)'!G20:G24, -1*'Data Sheet (2)'!G19)</f>
        <v>5233.0499999999993</v>
      </c>
      <c r="H5" s="2">
        <f>SUM('Data Sheet (2)'!H18,'Data Sheet (2)'!H20:H24, -1*'Data Sheet (2)'!H19)</f>
        <v>7935.31</v>
      </c>
      <c r="I5" s="2">
        <f>SUM('Data Sheet (2)'!I18,'Data Sheet (2)'!I20:I24, -1*'Data Sheet (2)'!I19)</f>
        <v>6195.1600000000008</v>
      </c>
      <c r="J5" s="2">
        <f>SUM('Data Sheet (2)'!J18,'Data Sheet (2)'!J20:J24, -1*'Data Sheet (2)'!J19)</f>
        <v>6303.66</v>
      </c>
      <c r="K5" s="2">
        <f>SUM('Data Sheet (2)'!K18,'Data Sheet (2)'!K20:K24, -1*'Data Sheet (2)'!K19)</f>
        <v>6945.83</v>
      </c>
      <c r="L5" s="2">
        <f>SUM('Quarters (2)'!H5:K5)</f>
        <v>7325.86</v>
      </c>
      <c r="M5" s="2">
        <f>M4-M6</f>
        <v>7811.8497978554788</v>
      </c>
      <c r="N5" s="2">
        <f>N4-N6</f>
        <v>8387.4344470245451</v>
      </c>
    </row>
    <row r="6" spans="1:14" s="5" customFormat="1" x14ac:dyDescent="0.3">
      <c r="A6" s="5" t="s">
        <v>22</v>
      </c>
      <c r="B6" s="1">
        <f>B4-B5</f>
        <v>5755.63</v>
      </c>
      <c r="C6" s="1">
        <f>C4-C5</f>
        <v>6906.7399999999989</v>
      </c>
      <c r="D6" s="1">
        <f>D4-D5</f>
        <v>9987.61</v>
      </c>
      <c r="E6" s="1">
        <f>E4-E5</f>
        <v>9943.9500000000007</v>
      </c>
      <c r="F6" s="1">
        <f>F4-F5</f>
        <v>7951.68</v>
      </c>
      <c r="G6" s="1">
        <f>G4-G5</f>
        <v>6696.6500000000015</v>
      </c>
      <c r="H6" s="1">
        <f>H4-H5</f>
        <v>4839.6400000000003</v>
      </c>
      <c r="I6" s="1">
        <f>I4-I5</f>
        <v>8056.5499999999984</v>
      </c>
      <c r="J6" s="1">
        <f>J4-J5</f>
        <v>9620.58</v>
      </c>
      <c r="K6" s="1">
        <f>K4-K5</f>
        <v>10967.839999999998</v>
      </c>
      <c r="L6" s="1">
        <f>SUM('Quarters (2)'!H6:K6)</f>
        <v>11572.109999999999</v>
      </c>
      <c r="M6" s="1">
        <f>M4*M24</f>
        <v>12339.791528129304</v>
      </c>
      <c r="N6" s="1">
        <f>N4*N24</f>
        <v>10333.841747475915</v>
      </c>
    </row>
    <row r="7" spans="1:14" x14ac:dyDescent="0.3">
      <c r="A7" t="s">
        <v>21</v>
      </c>
      <c r="B7" s="2">
        <f>'Data Sheet (2)'!B25</f>
        <v>25.93</v>
      </c>
      <c r="C7" s="2">
        <f>'Data Sheet (2)'!C25</f>
        <v>48.7</v>
      </c>
      <c r="D7" s="2">
        <f>'Data Sheet (2)'!D25</f>
        <v>-3.73</v>
      </c>
      <c r="E7" s="2">
        <f>'Data Sheet (2)'!E25</f>
        <v>369.96</v>
      </c>
      <c r="F7" s="2">
        <f>'Data Sheet (2)'!F25</f>
        <v>836.12</v>
      </c>
      <c r="G7" s="2">
        <f>'Data Sheet (2)'!G25</f>
        <v>593.86</v>
      </c>
      <c r="H7" s="2">
        <f>'Data Sheet (2)'!H25</f>
        <v>2792.12</v>
      </c>
      <c r="I7" s="2">
        <f>'Data Sheet (2)'!I25</f>
        <v>473.91</v>
      </c>
      <c r="J7" s="2">
        <f>'Data Sheet (2)'!J25</f>
        <v>16.260000000000002</v>
      </c>
      <c r="K7" s="2">
        <f>'Data Sheet (2)'!K25</f>
        <v>-26.16</v>
      </c>
      <c r="L7" s="2">
        <f>SUM('Quarters (2)'!H7:K7)</f>
        <v>5.2100000000000009</v>
      </c>
      <c r="M7" s="2">
        <v>0</v>
      </c>
      <c r="N7" s="2">
        <v>0</v>
      </c>
    </row>
    <row r="8" spans="1:14" x14ac:dyDescent="0.3">
      <c r="A8" t="s">
        <v>20</v>
      </c>
      <c r="B8" s="2">
        <f>'Data Sheet (2)'!B26</f>
        <v>67.3</v>
      </c>
      <c r="C8" s="2">
        <f>'Data Sheet (2)'!C26</f>
        <v>51.93</v>
      </c>
      <c r="D8" s="2">
        <f>'Data Sheet (2)'!D26</f>
        <v>49.62</v>
      </c>
      <c r="E8" s="2">
        <f>'Data Sheet (2)'!E26</f>
        <v>81.59</v>
      </c>
      <c r="F8" s="2">
        <f>'Data Sheet (2)'!F26</f>
        <v>85.66</v>
      </c>
      <c r="G8" s="2">
        <f>'Data Sheet (2)'!G26</f>
        <v>102.64</v>
      </c>
      <c r="H8" s="2">
        <f>'Data Sheet (2)'!H26</f>
        <v>111.24</v>
      </c>
      <c r="I8" s="2">
        <f>'Data Sheet (2)'!I26</f>
        <v>114.77</v>
      </c>
      <c r="J8" s="2">
        <f>'Data Sheet (2)'!J26</f>
        <v>138.9</v>
      </c>
      <c r="K8" s="2">
        <f>'Data Sheet (2)'!K26</f>
        <v>209.69</v>
      </c>
      <c r="L8" s="2">
        <f>SUM('Quarters (2)'!H8:K8)</f>
        <v>231.68</v>
      </c>
      <c r="M8" s="2">
        <f>+$L8</f>
        <v>231.68</v>
      </c>
      <c r="N8" s="2">
        <f>+$L8</f>
        <v>231.68</v>
      </c>
    </row>
    <row r="9" spans="1:14" x14ac:dyDescent="0.3">
      <c r="A9" t="s">
        <v>19</v>
      </c>
      <c r="B9" s="2">
        <f>'Data Sheet (2)'!B27</f>
        <v>4635.3599999999997</v>
      </c>
      <c r="C9" s="2">
        <f>'Data Sheet (2)'!C27</f>
        <v>5457.75</v>
      </c>
      <c r="D9" s="2">
        <f>'Data Sheet (2)'!D27</f>
        <v>6882.28</v>
      </c>
      <c r="E9" s="2">
        <f>'Data Sheet (2)'!E27</f>
        <v>7552.24</v>
      </c>
      <c r="F9" s="2">
        <f>'Data Sheet (2)'!F27</f>
        <v>7230.15</v>
      </c>
      <c r="G9" s="2">
        <f>'Data Sheet (2)'!G27</f>
        <v>5765.01</v>
      </c>
      <c r="H9" s="2">
        <f>'Data Sheet (2)'!H27</f>
        <v>5811.67</v>
      </c>
      <c r="I9" s="2">
        <f>'Data Sheet (2)'!I27</f>
        <v>5386.66</v>
      </c>
      <c r="J9" s="2">
        <f>'Data Sheet (2)'!J27</f>
        <v>6006.68</v>
      </c>
      <c r="K9" s="2">
        <f>'Data Sheet (2)'!K27</f>
        <v>6733.82</v>
      </c>
      <c r="L9" s="2">
        <f>SUM('Quarters (2)'!H9:K9)</f>
        <v>7054.41</v>
      </c>
      <c r="M9" s="2">
        <f>+$L9</f>
        <v>7054.41</v>
      </c>
      <c r="N9" s="2">
        <f>+$L9</f>
        <v>7054.41</v>
      </c>
    </row>
    <row r="10" spans="1:14" x14ac:dyDescent="0.3">
      <c r="A10" t="s">
        <v>18</v>
      </c>
      <c r="B10" s="2">
        <f>'Data Sheet (2)'!B28</f>
        <v>1078.9000000000001</v>
      </c>
      <c r="C10" s="2">
        <f>'Data Sheet (2)'!C28</f>
        <v>1445.76</v>
      </c>
      <c r="D10" s="2">
        <f>'Data Sheet (2)'!D28</f>
        <v>3051.98</v>
      </c>
      <c r="E10" s="2">
        <f>'Data Sheet (2)'!E28</f>
        <v>2680.08</v>
      </c>
      <c r="F10" s="2">
        <f>'Data Sheet (2)'!F28</f>
        <v>1471.99</v>
      </c>
      <c r="G10" s="2">
        <f>'Data Sheet (2)'!G28</f>
        <v>1422.86</v>
      </c>
      <c r="H10" s="2">
        <f>'Data Sheet (2)'!H28</f>
        <v>1708.85</v>
      </c>
      <c r="I10" s="2">
        <f>'Data Sheet (2)'!I28</f>
        <v>3029.03</v>
      </c>
      <c r="J10" s="2">
        <f>'Data Sheet (2)'!J28</f>
        <v>3491.26</v>
      </c>
      <c r="K10" s="2">
        <f>'Data Sheet (2)'!K28</f>
        <v>3998.17</v>
      </c>
      <c r="L10" s="2">
        <f>SUM('Quarters (2)'!H10:K10)</f>
        <v>4291.2299999999996</v>
      </c>
      <c r="M10" s="2">
        <f>M6+M7-SUM(M8:M9)</f>
        <v>5053.7015281293043</v>
      </c>
      <c r="N10" s="2">
        <f>N6+N7-SUM(N8:N9)</f>
        <v>3047.7517474759152</v>
      </c>
    </row>
    <row r="11" spans="1:14" x14ac:dyDescent="0.3">
      <c r="A11" t="s">
        <v>17</v>
      </c>
      <c r="B11" s="2">
        <f>'Data Sheet (2)'!B29</f>
        <v>36.44</v>
      </c>
      <c r="C11" s="2">
        <f>'Data Sheet (2)'!C29</f>
        <v>168.24</v>
      </c>
      <c r="D11" s="2">
        <f>'Data Sheet (2)'!D29</f>
        <v>819.95</v>
      </c>
      <c r="E11" s="2">
        <f>'Data Sheet (2)'!E29</f>
        <v>979.82</v>
      </c>
      <c r="F11" s="2">
        <f>'Data Sheet (2)'!F29</f>
        <v>523.11</v>
      </c>
      <c r="G11" s="2">
        <f>'Data Sheet (2)'!G29</f>
        <v>373.62</v>
      </c>
      <c r="H11" s="2">
        <f>'Data Sheet (2)'!H29</f>
        <v>172.37</v>
      </c>
      <c r="I11" s="2">
        <f>'Data Sheet (2)'!I29</f>
        <v>711.9</v>
      </c>
      <c r="J11" s="2">
        <f>'Data Sheet (2)'!J29</f>
        <v>847.84</v>
      </c>
      <c r="K11" s="2">
        <f>'Data Sheet (2)'!K29</f>
        <v>1015.3</v>
      </c>
      <c r="L11" s="2">
        <f>SUM('Quarters (2)'!H11:K11)</f>
        <v>1093.21</v>
      </c>
      <c r="M11" s="11">
        <f>IF($L10&gt;0,$L11/$L10,0)</f>
        <v>0.25475446433773069</v>
      </c>
      <c r="N11" s="11">
        <f>IF($L10&gt;0,$L11/$L10,0)</f>
        <v>0.25475446433773069</v>
      </c>
    </row>
    <row r="12" spans="1:14" s="5" customFormat="1" x14ac:dyDescent="0.3">
      <c r="A12" s="5" t="s">
        <v>16</v>
      </c>
      <c r="B12" s="1">
        <f>'Data Sheet (2)'!B30</f>
        <v>1042.19</v>
      </c>
      <c r="C12" s="1">
        <f>'Data Sheet (2)'!C30</f>
        <v>1254.68</v>
      </c>
      <c r="D12" s="1">
        <f>'Data Sheet (2)'!D30</f>
        <v>2226.3000000000002</v>
      </c>
      <c r="E12" s="1">
        <f>'Data Sheet (2)'!E30</f>
        <v>1700.17</v>
      </c>
      <c r="F12" s="1">
        <f>'Data Sheet (2)'!F30</f>
        <v>970.94</v>
      </c>
      <c r="G12" s="1">
        <f>'Data Sheet (2)'!G30</f>
        <v>1070.1099999999999</v>
      </c>
      <c r="H12" s="1">
        <f>'Data Sheet (2)'!H30</f>
        <v>1623.25</v>
      </c>
      <c r="I12" s="1">
        <f>'Data Sheet (2)'!I30</f>
        <v>2320.1</v>
      </c>
      <c r="J12" s="1">
        <f>'Data Sheet (2)'!J30</f>
        <v>2643.66</v>
      </c>
      <c r="K12" s="1">
        <f>'Data Sheet (2)'!K30</f>
        <v>2981.18</v>
      </c>
      <c r="L12" s="1">
        <f>SUM('Quarters (2)'!H12:K12)</f>
        <v>3182.55</v>
      </c>
      <c r="M12" s="1">
        <f>M10-M11*M10</f>
        <v>3766.2485024079524</v>
      </c>
      <c r="N12" s="1">
        <f>N10-N11*N10</f>
        <v>2271.3233836133059</v>
      </c>
    </row>
    <row r="13" spans="1:14" x14ac:dyDescent="0.3">
      <c r="A13" t="s">
        <v>15</v>
      </c>
      <c r="B13" s="2">
        <f>IF('Data Sheet (2)'!B93&gt;0,B12/'Data Sheet (2)'!B93,0)</f>
        <v>4.826964939094994</v>
      </c>
      <c r="C13" s="2">
        <f>IF('Data Sheet (2)'!C93&gt;0,C12/'Data Sheet (2)'!C93,0)</f>
        <v>5.1125870991402147</v>
      </c>
      <c r="D13" s="2">
        <f>IF('Data Sheet (2)'!D93&gt;0,D12/'Data Sheet (2)'!D93,0)</f>
        <v>9.057363710333604</v>
      </c>
      <c r="E13" s="2">
        <f>IF('Data Sheet (2)'!E93&gt;0,E12/'Data Sheet (2)'!E93,0)</f>
        <v>6.8961223330899655</v>
      </c>
      <c r="F13" s="2">
        <f>IF('Data Sheet (2)'!F93&gt;0,F12/'Data Sheet (2)'!F93,0)</f>
        <v>3.9318862881671666</v>
      </c>
      <c r="G13" s="2">
        <f>IF('Data Sheet (2)'!G93&gt;0,G12/'Data Sheet (2)'!G93,0)</f>
        <v>4.3254244139046074</v>
      </c>
      <c r="H13" s="2">
        <f>IF('Data Sheet (2)'!H93&gt;0,H12/'Data Sheet (2)'!H93,0)</f>
        <v>6.5461547767875148</v>
      </c>
      <c r="I13" s="2">
        <f>IF('Data Sheet (2)'!I93&gt;0,I12/'Data Sheet (2)'!I93,0)</f>
        <v>9.3217887420145455</v>
      </c>
      <c r="J13" s="2">
        <f>IF('Data Sheet (2)'!J93&gt;0,J12/'Data Sheet (2)'!J93,0)</f>
        <v>10.59625636298048</v>
      </c>
      <c r="K13" s="2">
        <f>IF('Data Sheet (2)'!K93&gt;0,K12/'Data Sheet (2)'!K93,0)</f>
        <v>11.903769365915988</v>
      </c>
      <c r="L13" s="2">
        <f>IF('Data Sheet (2)'!$B6&gt;0,'Profit &amp; Loss (2)'!L12/'Data Sheet (2)'!$B6,0)</f>
        <v>12.685332530376257</v>
      </c>
      <c r="M13" s="2">
        <f>IF('Data Sheet (2)'!$B6&gt;0,'Profit &amp; Loss (2)'!M12/'Data Sheet (2)'!$B6,0)</f>
        <v>15.011897580580497</v>
      </c>
      <c r="N13" s="2">
        <f>IF('Data Sheet (2)'!$B6&gt;0,'Profit &amp; Loss (2)'!N12/'Data Sheet (2)'!$B6,0)</f>
        <v>9.0532725032298433</v>
      </c>
    </row>
    <row r="14" spans="1:14" x14ac:dyDescent="0.3">
      <c r="A14" t="s">
        <v>14</v>
      </c>
      <c r="B14" s="2">
        <f>IF(B15&gt;0,B15/B13,"")</f>
        <v>23.826566269106397</v>
      </c>
      <c r="C14" s="2">
        <f>IF(C15&gt;0,C15/C13,"")</f>
        <v>28.580442184461376</v>
      </c>
      <c r="D14" s="2">
        <f>IF(D15&gt;0,D15/D13,"")</f>
        <v>15.665706328886493</v>
      </c>
      <c r="E14" s="2">
        <f>IF(E15&gt;0,E15/E13,"")</f>
        <v>6.9183807501602779</v>
      </c>
      <c r="F14" s="2">
        <f>IF(F15&gt;0,F15/F13,"")</f>
        <v>24.377612416833166</v>
      </c>
      <c r="G14" s="2">
        <f>IF(G15&gt;0,G15/G13,"")</f>
        <v>18.634009587799387</v>
      </c>
      <c r="H14" s="2">
        <f>IF(H15&gt;0,H15/H13,"")</f>
        <v>12.534075773910365</v>
      </c>
      <c r="I14" s="2">
        <f>IF(I15&gt;0,I15/I13,"")</f>
        <v>16.976355545019608</v>
      </c>
      <c r="J14" s="2">
        <f>IF(J15&gt;0,J15/J13,"")</f>
        <v>14.459823804876573</v>
      </c>
      <c r="K14" s="2">
        <f>IF(K15&gt;0,K15/K13,"")</f>
        <v>20.178482345916716</v>
      </c>
      <c r="L14" s="2">
        <f>IF(L13&gt;0,L15/L13,0)</f>
        <v>24.658399710923629</v>
      </c>
      <c r="M14" s="2">
        <f>M25</f>
        <v>24.658399710923629</v>
      </c>
      <c r="N14" s="2">
        <f>N25</f>
        <v>17.342142491929966</v>
      </c>
    </row>
    <row r="15" spans="1:14" s="5" customFormat="1" x14ac:dyDescent="0.3">
      <c r="A15" s="5" t="s">
        <v>13</v>
      </c>
      <c r="B15" s="1">
        <f>'Data Sheet (2)'!B90</f>
        <v>115.01</v>
      </c>
      <c r="C15" s="1">
        <f>'Data Sheet (2)'!C90</f>
        <v>146.12</v>
      </c>
      <c r="D15" s="1">
        <f>'Data Sheet (2)'!D90</f>
        <v>141.88999999999999</v>
      </c>
      <c r="E15" s="1">
        <f>'Data Sheet (2)'!E90</f>
        <v>47.71</v>
      </c>
      <c r="F15" s="1">
        <f>'Data Sheet (2)'!F90</f>
        <v>95.85</v>
      </c>
      <c r="G15" s="1">
        <f>'Data Sheet (2)'!G90</f>
        <v>80.599999999999994</v>
      </c>
      <c r="H15" s="1">
        <f>'Data Sheet (2)'!H90</f>
        <v>82.05</v>
      </c>
      <c r="I15" s="1">
        <f>'Data Sheet (2)'!I90</f>
        <v>158.25</v>
      </c>
      <c r="J15" s="1">
        <f>'Data Sheet (2)'!J90</f>
        <v>153.22</v>
      </c>
      <c r="K15" s="1">
        <f>'Data Sheet (2)'!K90</f>
        <v>240.2</v>
      </c>
      <c r="L15" s="1">
        <f>'Data Sheet (2)'!B8</f>
        <v>312.8</v>
      </c>
      <c r="M15" s="10">
        <f>M13*M14</f>
        <v>370.16937096140123</v>
      </c>
      <c r="N15" s="9">
        <f>N13*N14</f>
        <v>157.00314176928345</v>
      </c>
    </row>
    <row r="17" spans="1:14" s="5" customFormat="1" x14ac:dyDescent="0.3">
      <c r="A17" s="5" t="s">
        <v>12</v>
      </c>
    </row>
    <row r="18" spans="1:14" x14ac:dyDescent="0.3">
      <c r="A18" t="s">
        <v>11</v>
      </c>
      <c r="B18" s="4">
        <f>IF('Data Sheet (2)'!B30&gt;0, 'Data Sheet (2)'!B31/'Data Sheet (2)'!B30, 0)</f>
        <v>0.13477388959786604</v>
      </c>
      <c r="C18" s="4">
        <f>IF('Data Sheet (2)'!C30&gt;0, 'Data Sheet (2)'!C31/'Data Sheet (2)'!C30, 0)</f>
        <v>0.15906047757197053</v>
      </c>
      <c r="D18" s="4">
        <f>IF('Data Sheet (2)'!D30&gt;0, 'Data Sheet (2)'!D31/'Data Sheet (2)'!D30, 0)</f>
        <v>8.9781251403674253E-2</v>
      </c>
      <c r="E18" s="4">
        <f>IF('Data Sheet (2)'!E30&gt;0, 'Data Sheet (2)'!E31/'Data Sheet (2)'!E30, 0)</f>
        <v>0.10612468164948211</v>
      </c>
      <c r="F18" s="4">
        <f>IF('Data Sheet (2)'!F30&gt;0, 'Data Sheet (2)'!F31/'Data Sheet (2)'!F30, 0)</f>
        <v>0</v>
      </c>
      <c r="G18" s="4">
        <f>IF('Data Sheet (2)'!G30&gt;0, 'Data Sheet (2)'!G31/'Data Sheet (2)'!G30, 0)</f>
        <v>0.115595592976423</v>
      </c>
      <c r="H18" s="4">
        <f>IF('Data Sheet (2)'!H30&gt;0, 'Data Sheet (2)'!H31/'Data Sheet (2)'!H30, 0)</f>
        <v>0.30551671030340366</v>
      </c>
      <c r="I18" s="4">
        <f>IF('Data Sheet (2)'!I30&gt;0, 'Data Sheet (2)'!I31/'Data Sheet (2)'!I30, 0)</f>
        <v>0.26819533640791349</v>
      </c>
      <c r="J18" s="4">
        <f>IF('Data Sheet (2)'!J30&gt;0, 'Data Sheet (2)'!J31/'Data Sheet (2)'!J30, 0)</f>
        <v>0.25952278280868191</v>
      </c>
      <c r="K18" s="4">
        <f>IF('Data Sheet (2)'!K30&gt;0, 'Data Sheet (2)'!K31/'Data Sheet (2)'!K30, 0)</f>
        <v>0.23101926082960442</v>
      </c>
    </row>
    <row r="19" spans="1:14" x14ac:dyDescent="0.3">
      <c r="A19" t="s">
        <v>1</v>
      </c>
      <c r="B19" s="4">
        <f>IF(B6&gt;0,B6/B4,0)</f>
        <v>0.67462650528975876</v>
      </c>
      <c r="C19" s="4">
        <f>IF(C6&gt;0,C6/C4,0)</f>
        <v>0.67616684043839415</v>
      </c>
      <c r="D19" s="4">
        <f>IF(D6&gt;0,D6/D4,0)</f>
        <v>0.74729983621313401</v>
      </c>
      <c r="E19" s="4">
        <f>IF(E6&gt;0,E6/E4,0)</f>
        <v>0.70503866955187566</v>
      </c>
      <c r="F19" s="4">
        <f>IF(F6&gt;0,F6/F4,0)</f>
        <v>0.59550433053617768</v>
      </c>
      <c r="G19" s="4">
        <f>IF(G6&gt;0,G6/G4,0)</f>
        <v>0.56134269931347824</v>
      </c>
      <c r="H19" s="4">
        <f>IF(H6&gt;0,H6/H4,0)</f>
        <v>0.37883827333962167</v>
      </c>
      <c r="I19" s="4">
        <f>IF(I6&gt;0,I6/I4,0)</f>
        <v>0.56530409333336129</v>
      </c>
      <c r="J19" s="4">
        <f>IF(J6&gt;0,J6/J4,0)</f>
        <v>0.604146885502856</v>
      </c>
      <c r="K19" s="4">
        <f>IF(K6&gt;0,K6/K4,0)</f>
        <v>0.61226091582573527</v>
      </c>
      <c r="L19" s="4">
        <f>IF(L6&gt;0,L6/L4,0)</f>
        <v>0.61234672295489934</v>
      </c>
    </row>
    <row r="20" spans="1:14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4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4" s="5" customFormat="1" x14ac:dyDescent="0.3">
      <c r="A22" s="8"/>
      <c r="B22" s="7"/>
      <c r="C22" s="7"/>
      <c r="D22" s="7"/>
      <c r="E22" s="7"/>
      <c r="F22" s="7"/>
      <c r="G22" s="7" t="s">
        <v>10</v>
      </c>
      <c r="H22" s="7" t="s">
        <v>9</v>
      </c>
      <c r="I22" s="7" t="s">
        <v>8</v>
      </c>
      <c r="J22" s="7" t="s">
        <v>7</v>
      </c>
      <c r="K22" s="7" t="s">
        <v>6</v>
      </c>
      <c r="L22" s="6" t="s">
        <v>5</v>
      </c>
      <c r="M22" s="6" t="s">
        <v>4</v>
      </c>
      <c r="N22" s="6" t="s">
        <v>3</v>
      </c>
    </row>
    <row r="23" spans="1:14" s="5" customFormat="1" x14ac:dyDescent="0.3">
      <c r="A23"/>
      <c r="B23"/>
      <c r="C23"/>
      <c r="D23"/>
      <c r="E23"/>
      <c r="F23"/>
      <c r="G23" t="s">
        <v>2</v>
      </c>
      <c r="H23" s="4">
        <f>IF(B4=0,"",POWER($K4/B4,1/9)-1)</f>
        <v>8.5912947554226182E-2</v>
      </c>
      <c r="I23" s="4">
        <f>IF(D4=0,"",POWER($K4/D4,1/7)-1)</f>
        <v>4.2735076545282968E-2</v>
      </c>
      <c r="J23" s="4">
        <f>IF(F4=0,"",POWER($K4/F4,1/5)-1)</f>
        <v>6.0527952648963934E-2</v>
      </c>
      <c r="K23" s="4">
        <f>IF(H4=0,"",POWER($K4/H4, 1/3)-1)</f>
        <v>0.11928784320315611</v>
      </c>
      <c r="L23" s="4">
        <f>IF(ISERROR(MAX(IF(J4=0,"",(K4-J4)/J4),IF(K4=0,"",(L4-K4)/K4))),"",MAX(IF(J4=0,"",(K4-J4)/J4),IF(K4=0,"",(L4-K4)/K4)))</f>
        <v>0.12493092292002624</v>
      </c>
      <c r="M23" s="3">
        <f>MAX(K23:L23)</f>
        <v>0.12493092292002624</v>
      </c>
      <c r="N23" s="3">
        <f>MIN(H23:L23)</f>
        <v>4.2735076545282968E-2</v>
      </c>
    </row>
    <row r="24" spans="1:14" x14ac:dyDescent="0.3">
      <c r="G24" t="s">
        <v>1</v>
      </c>
      <c r="H24" s="4">
        <f>IF(SUM(B4:$K$4)=0,"",SUMPRODUCT(B19:$K$19,B4:$K$4)/SUM(B4:$K$4))</f>
        <v>0.60989322488352049</v>
      </c>
      <c r="I24" s="4">
        <f>IF(SUM(E4:$K$4)=0,"",SUMPRODUCT(E19:$K$19,E4:$K$4)/SUM(E4:$K$4))</f>
        <v>0.57931343293110393</v>
      </c>
      <c r="J24" s="4">
        <f>IF(SUM(G4:$K$4)=0,"",SUMPRODUCT(G19:$K$19,G4:$K$4)/SUM(G4:$K$4))</f>
        <v>0.55198383059545764</v>
      </c>
      <c r="K24" s="4">
        <f>IF(SUM(I4:$K$4)=0, "", SUMPRODUCT(I19:$K$19,I4:$K$4)/SUM(I4:$K$4))</f>
        <v>0.59565806508764252</v>
      </c>
      <c r="L24" s="4">
        <f>L19</f>
        <v>0.61234672295489934</v>
      </c>
      <c r="M24" s="3">
        <f>MAX(K24:L24)</f>
        <v>0.61234672295489934</v>
      </c>
      <c r="N24" s="3">
        <f>MIN(H24:L24)</f>
        <v>0.55198383059545764</v>
      </c>
    </row>
    <row r="25" spans="1:14" x14ac:dyDescent="0.3">
      <c r="G25" t="s">
        <v>0</v>
      </c>
      <c r="H25" s="2">
        <f>IF(ISERROR(AVERAGEIF(B14:$L14,"&gt;0")),"",AVERAGEIF(B14:$L14,"&gt;0"))</f>
        <v>18.800895883444905</v>
      </c>
      <c r="I25" s="2">
        <f>IF(ISERROR(AVERAGEIF(E14:$L14,"&gt;0")),"",AVERAGEIF(E14:$L14,"&gt;0"))</f>
        <v>17.342142491929966</v>
      </c>
      <c r="J25" s="2">
        <f>IF(ISERROR(AVERAGEIF(G14:$L14,"&gt;0")),"",AVERAGEIF(G14:$L14,"&gt;0"))</f>
        <v>17.906857794741047</v>
      </c>
      <c r="K25" s="2">
        <f>IF(ISERROR(AVERAGEIF(I14:$L14,"&gt;0")),"",AVERAGEIF(I14:$L14,"&gt;0"))</f>
        <v>19.068265351684133</v>
      </c>
      <c r="L25" s="2">
        <f>L14</f>
        <v>24.658399710923629</v>
      </c>
      <c r="M25" s="1">
        <f>MAX(K25:L25)</f>
        <v>24.658399710923629</v>
      </c>
      <c r="N25" s="1">
        <f>MIN(H25:L25)</f>
        <v>17.342142491929966</v>
      </c>
    </row>
  </sheetData>
  <hyperlinks>
    <hyperlink ref="M1" r:id="rId1" xr:uid="{54F48790-983C-4F64-B6FD-A6BF49A3627A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4B08-817A-4ED8-BF5D-6A4EEC1928E6}">
  <sheetPr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5" customFormat="1" x14ac:dyDescent="0.3">
      <c r="A1" s="5" t="str">
        <f>'Profit &amp; Loss (2)'!A1</f>
        <v>L&amp;T FINANCE LTD</v>
      </c>
      <c r="E1" t="str">
        <f>UPDATE</f>
        <v/>
      </c>
      <c r="J1" s="5" t="s">
        <v>29</v>
      </c>
    </row>
    <row r="3" spans="1:11" s="5" customFormat="1" x14ac:dyDescent="0.3">
      <c r="A3" s="8" t="s">
        <v>28</v>
      </c>
      <c r="B3" s="7">
        <f>'Data Sheet (2)'!B41</f>
        <v>45382</v>
      </c>
      <c r="C3" s="7">
        <f>'Data Sheet (2)'!C41</f>
        <v>45473</v>
      </c>
      <c r="D3" s="7">
        <f>'Data Sheet (2)'!D41</f>
        <v>45565</v>
      </c>
      <c r="E3" s="7">
        <f>'Data Sheet (2)'!E41</f>
        <v>45657</v>
      </c>
      <c r="F3" s="7">
        <f>'Data Sheet (2)'!F41</f>
        <v>45747</v>
      </c>
      <c r="G3" s="7">
        <f>'Data Sheet (2)'!G41</f>
        <v>45838</v>
      </c>
      <c r="H3" s="7">
        <f>'Data Sheet (2)'!H41</f>
        <v>45930</v>
      </c>
      <c r="I3" s="7">
        <f>'Data Sheet (2)'!I41</f>
        <v>46022</v>
      </c>
      <c r="J3" s="7">
        <f>'Data Sheet (2)'!J41</f>
        <v>46112</v>
      </c>
      <c r="K3" s="7">
        <f>'Data Sheet (2)'!K41</f>
        <v>46203</v>
      </c>
    </row>
    <row r="4" spans="1:11" s="5" customFormat="1" x14ac:dyDescent="0.3">
      <c r="A4" s="5" t="s">
        <v>24</v>
      </c>
      <c r="B4" s="1">
        <f>'Data Sheet (2)'!B42</f>
        <v>3670.3</v>
      </c>
      <c r="C4" s="1">
        <f>'Data Sheet (2)'!C42</f>
        <v>3784.4</v>
      </c>
      <c r="D4" s="1">
        <f>'Data Sheet (2)'!D42</f>
        <v>4019.34</v>
      </c>
      <c r="E4" s="1">
        <f>'Data Sheet (2)'!E42</f>
        <v>4097.58</v>
      </c>
      <c r="F4" s="1">
        <f>'Data Sheet (2)'!F42</f>
        <v>4022.92</v>
      </c>
      <c r="G4" s="1">
        <f>'Data Sheet (2)'!G42</f>
        <v>4259.57</v>
      </c>
      <c r="H4" s="1">
        <f>'Data Sheet (2)'!H42</f>
        <v>4335.75</v>
      </c>
      <c r="I4" s="1">
        <f>'Data Sheet (2)'!I42</f>
        <v>4578.2700000000004</v>
      </c>
      <c r="J4" s="1">
        <f>'Data Sheet (2)'!J42</f>
        <v>4771.03</v>
      </c>
      <c r="K4" s="1">
        <f>'Data Sheet (2)'!K42</f>
        <v>5212.92</v>
      </c>
    </row>
    <row r="5" spans="1:11" x14ac:dyDescent="0.3">
      <c r="A5" t="s">
        <v>23</v>
      </c>
      <c r="B5" s="2">
        <f>'Data Sheet (2)'!B43</f>
        <v>1619.08</v>
      </c>
      <c r="C5" s="2">
        <f>'Data Sheet (2)'!C43</f>
        <v>1482.49</v>
      </c>
      <c r="D5" s="2">
        <f>'Data Sheet (2)'!D43</f>
        <v>1574.88</v>
      </c>
      <c r="E5" s="2">
        <f>'Data Sheet (2)'!E43</f>
        <v>1675.8</v>
      </c>
      <c r="F5" s="2">
        <f>'Data Sheet (2)'!F43</f>
        <v>1580.89</v>
      </c>
      <c r="G5" s="2">
        <f>'Data Sheet (2)'!G43</f>
        <v>1639.95</v>
      </c>
      <c r="H5" s="2">
        <f>'Data Sheet (2)'!H43</f>
        <v>1661.69</v>
      </c>
      <c r="I5" s="2">
        <f>'Data Sheet (2)'!I43</f>
        <v>1800.09</v>
      </c>
      <c r="J5" s="2">
        <f>'Data Sheet (2)'!J43</f>
        <v>1889.8</v>
      </c>
      <c r="K5" s="2">
        <f>'Data Sheet (2)'!K43</f>
        <v>1974.28</v>
      </c>
    </row>
    <row r="6" spans="1:11" s="5" customFormat="1" x14ac:dyDescent="0.3">
      <c r="A6" s="5" t="s">
        <v>22</v>
      </c>
      <c r="B6" s="1">
        <f>'Data Sheet (2)'!B50</f>
        <v>2051.2199999999998</v>
      </c>
      <c r="C6" s="1">
        <f>'Data Sheet (2)'!C50</f>
        <v>2301.91</v>
      </c>
      <c r="D6" s="1">
        <f>'Data Sheet (2)'!D50</f>
        <v>2444.46</v>
      </c>
      <c r="E6" s="1">
        <f>'Data Sheet (2)'!E50</f>
        <v>2421.7800000000002</v>
      </c>
      <c r="F6" s="1">
        <f>'Data Sheet (2)'!F50</f>
        <v>2442.0300000000002</v>
      </c>
      <c r="G6" s="1">
        <f>'Data Sheet (2)'!G50</f>
        <v>2619.62</v>
      </c>
      <c r="H6" s="1">
        <f>'Data Sheet (2)'!H50</f>
        <v>2674.06</v>
      </c>
      <c r="I6" s="1">
        <f>'Data Sheet (2)'!I50</f>
        <v>2778.18</v>
      </c>
      <c r="J6" s="1">
        <f>'Data Sheet (2)'!J50</f>
        <v>2881.23</v>
      </c>
      <c r="K6" s="1">
        <f>'Data Sheet (2)'!K50</f>
        <v>3238.64</v>
      </c>
    </row>
    <row r="7" spans="1:11" x14ac:dyDescent="0.3">
      <c r="A7" t="s">
        <v>21</v>
      </c>
      <c r="B7" s="2">
        <f>'Data Sheet (2)'!B44</f>
        <v>5.55</v>
      </c>
      <c r="C7" s="2">
        <f>'Data Sheet (2)'!C44</f>
        <v>0.21</v>
      </c>
      <c r="D7" s="2">
        <f>'Data Sheet (2)'!D44</f>
        <v>4.68</v>
      </c>
      <c r="E7" s="2">
        <f>'Data Sheet (2)'!E44</f>
        <v>7.55</v>
      </c>
      <c r="F7" s="2">
        <f>'Data Sheet (2)'!F44</f>
        <v>4.3</v>
      </c>
      <c r="G7" s="2">
        <f>'Data Sheet (2)'!G44</f>
        <v>0.03</v>
      </c>
      <c r="H7" s="2">
        <f>'Data Sheet (2)'!H44</f>
        <v>0.04</v>
      </c>
      <c r="I7" s="2">
        <f>'Data Sheet (2)'!I44</f>
        <v>-25.29</v>
      </c>
      <c r="J7" s="2">
        <f>'Data Sheet (2)'!J44</f>
        <v>7.0000000000000007E-2</v>
      </c>
      <c r="K7" s="2">
        <f>'Data Sheet (2)'!K44</f>
        <v>30.39</v>
      </c>
    </row>
    <row r="8" spans="1:11" x14ac:dyDescent="0.3">
      <c r="A8" t="s">
        <v>20</v>
      </c>
      <c r="B8" s="2">
        <f>'Data Sheet (2)'!B45</f>
        <v>27.66</v>
      </c>
      <c r="C8" s="2">
        <f>'Data Sheet (2)'!C45</f>
        <v>28.44</v>
      </c>
      <c r="D8" s="2">
        <f>'Data Sheet (2)'!D45</f>
        <v>33.29</v>
      </c>
      <c r="E8" s="2">
        <f>'Data Sheet (2)'!E45</f>
        <v>36.19</v>
      </c>
      <c r="F8" s="2">
        <f>'Data Sheet (2)'!F45</f>
        <v>40.98</v>
      </c>
      <c r="G8" s="2">
        <f>'Data Sheet (2)'!G45</f>
        <v>40.69</v>
      </c>
      <c r="H8" s="2">
        <f>'Data Sheet (2)'!H45</f>
        <v>50.95</v>
      </c>
      <c r="I8" s="2">
        <f>'Data Sheet (2)'!I45</f>
        <v>57.7</v>
      </c>
      <c r="J8" s="2">
        <f>'Data Sheet (2)'!J45</f>
        <v>60.35</v>
      </c>
      <c r="K8" s="2">
        <f>'Data Sheet (2)'!K45</f>
        <v>62.68</v>
      </c>
    </row>
    <row r="9" spans="1:11" x14ac:dyDescent="0.3">
      <c r="A9" t="s">
        <v>19</v>
      </c>
      <c r="B9" s="2">
        <f>'Data Sheet (2)'!B46</f>
        <v>1335.09</v>
      </c>
      <c r="C9" s="2">
        <f>'Data Sheet (2)'!C46</f>
        <v>1351.41</v>
      </c>
      <c r="D9" s="2">
        <f>'Data Sheet (2)'!D46</f>
        <v>1476.28</v>
      </c>
      <c r="E9" s="2">
        <f>'Data Sheet (2)'!E46</f>
        <v>1569.24</v>
      </c>
      <c r="F9" s="2">
        <f>'Data Sheet (2)'!F46</f>
        <v>1599.83</v>
      </c>
      <c r="G9" s="2">
        <f>'Data Sheet (2)'!G46</f>
        <v>1635.74</v>
      </c>
      <c r="H9" s="2">
        <f>'Data Sheet (2)'!H46</f>
        <v>1634.29</v>
      </c>
      <c r="I9" s="2">
        <f>'Data Sheet (2)'!I46</f>
        <v>1703.02</v>
      </c>
      <c r="J9" s="2">
        <f>'Data Sheet (2)'!J46</f>
        <v>1747.03</v>
      </c>
      <c r="K9" s="2">
        <f>'Data Sheet (2)'!K46</f>
        <v>1970.07</v>
      </c>
    </row>
    <row r="10" spans="1:11" x14ac:dyDescent="0.3">
      <c r="A10" t="s">
        <v>18</v>
      </c>
      <c r="B10" s="2">
        <f>'Data Sheet (2)'!B47</f>
        <v>694.02</v>
      </c>
      <c r="C10" s="2">
        <f>'Data Sheet (2)'!C47</f>
        <v>922.27</v>
      </c>
      <c r="D10" s="2">
        <f>'Data Sheet (2)'!D47</f>
        <v>939.57</v>
      </c>
      <c r="E10" s="2">
        <f>'Data Sheet (2)'!E47</f>
        <v>823.9</v>
      </c>
      <c r="F10" s="2">
        <f>'Data Sheet (2)'!F47</f>
        <v>805.52</v>
      </c>
      <c r="G10" s="2">
        <f>'Data Sheet (2)'!G47</f>
        <v>943.22</v>
      </c>
      <c r="H10" s="2">
        <f>'Data Sheet (2)'!H47</f>
        <v>988.86</v>
      </c>
      <c r="I10" s="2">
        <f>'Data Sheet (2)'!I47</f>
        <v>992.17</v>
      </c>
      <c r="J10" s="2">
        <f>'Data Sheet (2)'!J47</f>
        <v>1073.92</v>
      </c>
      <c r="K10" s="2">
        <f>'Data Sheet (2)'!K47</f>
        <v>1236.28</v>
      </c>
    </row>
    <row r="11" spans="1:11" x14ac:dyDescent="0.3">
      <c r="A11" t="s">
        <v>17</v>
      </c>
      <c r="B11" s="2">
        <f>'Data Sheet (2)'!B48</f>
        <v>141</v>
      </c>
      <c r="C11" s="2">
        <f>'Data Sheet (2)'!C48</f>
        <v>237.02</v>
      </c>
      <c r="D11" s="2">
        <f>'Data Sheet (2)'!D48</f>
        <v>242.89</v>
      </c>
      <c r="E11" s="2">
        <f>'Data Sheet (2)'!E48</f>
        <v>198.25</v>
      </c>
      <c r="F11" s="2">
        <f>'Data Sheet (2)'!F48</f>
        <v>169.68</v>
      </c>
      <c r="G11" s="2">
        <f>'Data Sheet (2)'!G48</f>
        <v>242.38</v>
      </c>
      <c r="H11" s="2">
        <f>'Data Sheet (2)'!H48</f>
        <v>253.98</v>
      </c>
      <c r="I11" s="2">
        <f>'Data Sheet (2)'!I48</f>
        <v>254.18</v>
      </c>
      <c r="J11" s="2">
        <f>'Data Sheet (2)'!J48</f>
        <v>264.76</v>
      </c>
      <c r="K11" s="2">
        <f>'Data Sheet (2)'!K48</f>
        <v>320.29000000000002</v>
      </c>
    </row>
    <row r="12" spans="1:11" s="5" customFormat="1" x14ac:dyDescent="0.3">
      <c r="A12" s="5" t="s">
        <v>16</v>
      </c>
      <c r="B12" s="1">
        <f>'Data Sheet (2)'!B49</f>
        <v>553.88</v>
      </c>
      <c r="C12" s="1">
        <f>'Data Sheet (2)'!C49</f>
        <v>685.51</v>
      </c>
      <c r="D12" s="1">
        <f>'Data Sheet (2)'!D49</f>
        <v>695.58</v>
      </c>
      <c r="E12" s="1">
        <f>'Data Sheet (2)'!E49</f>
        <v>626.4</v>
      </c>
      <c r="F12" s="1">
        <f>'Data Sheet (2)'!F49</f>
        <v>636.16999999999996</v>
      </c>
      <c r="G12" s="1">
        <f>'Data Sheet (2)'!G49</f>
        <v>701.1</v>
      </c>
      <c r="H12" s="1">
        <f>'Data Sheet (2)'!H49</f>
        <v>734.84</v>
      </c>
      <c r="I12" s="1">
        <f>'Data Sheet (2)'!I49</f>
        <v>738.61</v>
      </c>
      <c r="J12" s="1">
        <f>'Data Sheet (2)'!J49</f>
        <v>806.63</v>
      </c>
      <c r="K12" s="1">
        <f>'Data Sheet (2)'!K49</f>
        <v>902.47</v>
      </c>
    </row>
    <row r="14" spans="1:11" s="5" customFormat="1" x14ac:dyDescent="0.3">
      <c r="A14" s="5" t="s">
        <v>1</v>
      </c>
      <c r="B14" s="14">
        <f>IF(B4&gt;0,B6/B4,"")</f>
        <v>0.55886984715145893</v>
      </c>
      <c r="C14" s="14">
        <f>IF(C4&gt;0,C6/C4,"")</f>
        <v>0.60826286861853918</v>
      </c>
      <c r="D14" s="14">
        <f>IF(D4&gt;0,D6/D4,"")</f>
        <v>0.60817447640657418</v>
      </c>
      <c r="E14" s="14">
        <f>IF(E4&gt;0,E6/E4,"")</f>
        <v>0.5910268988036842</v>
      </c>
      <c r="F14" s="14">
        <f>IF(F4&gt;0,F6/F4,"")</f>
        <v>0.60702922255476122</v>
      </c>
      <c r="G14" s="14">
        <f>IF(G4&gt;0,G6/G4,"")</f>
        <v>0.61499634939677006</v>
      </c>
      <c r="H14" s="14">
        <f>IF(H4&gt;0,H6/H4,"")</f>
        <v>0.61674681427665334</v>
      </c>
      <c r="I14" s="14">
        <f>IF(I4&gt;0,I6/I4,"")</f>
        <v>0.60681873284013388</v>
      </c>
      <c r="J14" s="14">
        <f>IF(J4&gt;0,J6/J4,"")</f>
        <v>0.60390104442856163</v>
      </c>
      <c r="K14" s="14">
        <f>IF(K4&gt;0,K6/K4,"")</f>
        <v>0.62127176323442523</v>
      </c>
    </row>
    <row r="22" s="13" customFormat="1" x14ac:dyDescent="0.3"/>
  </sheetData>
  <hyperlinks>
    <hyperlink ref="J1" r:id="rId1" xr:uid="{F64AA47C-D216-49CA-9210-263F94377C14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49E2-9C26-43AB-9D49-48579FC8E5DF}">
  <sheetPr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5" customFormat="1" x14ac:dyDescent="0.3">
      <c r="A1" s="5" t="str">
        <f>'Profit &amp; Loss (2)'!A1</f>
        <v>L&amp;T FINANCE LTD</v>
      </c>
      <c r="E1" t="str">
        <f>UPDATE</f>
        <v/>
      </c>
      <c r="G1"/>
      <c r="J1" s="5" t="s">
        <v>29</v>
      </c>
    </row>
    <row r="2" spans="1:11" x14ac:dyDescent="0.3">
      <c r="G2" s="5"/>
      <c r="H2" s="5"/>
    </row>
    <row r="3" spans="1:11" x14ac:dyDescent="0.3">
      <c r="A3" s="8" t="s">
        <v>28</v>
      </c>
      <c r="B3" s="7">
        <f>'Data Sheet (2)'!B56</f>
        <v>42825</v>
      </c>
      <c r="C3" s="7">
        <f>'Data Sheet (2)'!C56</f>
        <v>43190</v>
      </c>
      <c r="D3" s="7">
        <f>'Data Sheet (2)'!D56</f>
        <v>43555</v>
      </c>
      <c r="E3" s="7">
        <f>'Data Sheet (2)'!E56</f>
        <v>43921</v>
      </c>
      <c r="F3" s="7">
        <f>'Data Sheet (2)'!F56</f>
        <v>44286</v>
      </c>
      <c r="G3" s="7">
        <f>'Data Sheet (2)'!G56</f>
        <v>44651</v>
      </c>
      <c r="H3" s="7">
        <f>'Data Sheet (2)'!H56</f>
        <v>45016</v>
      </c>
      <c r="I3" s="7">
        <f>'Data Sheet (2)'!I56</f>
        <v>45382</v>
      </c>
      <c r="J3" s="7">
        <f>'Data Sheet (2)'!J56</f>
        <v>45747</v>
      </c>
      <c r="K3" s="7">
        <f>'Data Sheet (2)'!K56</f>
        <v>46112</v>
      </c>
    </row>
    <row r="4" spans="1:11" x14ac:dyDescent="0.3">
      <c r="A4" t="s">
        <v>45</v>
      </c>
      <c r="B4" s="16">
        <f>'Data Sheet (2)'!B57</f>
        <v>1755.72</v>
      </c>
      <c r="C4" s="16">
        <f>'Data Sheet (2)'!C57</f>
        <v>1995.68</v>
      </c>
      <c r="D4" s="16">
        <f>'Data Sheet (2)'!D57</f>
        <v>1998.81</v>
      </c>
      <c r="E4" s="16">
        <f>'Data Sheet (2)'!E57</f>
        <v>2004.83</v>
      </c>
      <c r="F4" s="16">
        <f>'Data Sheet (2)'!F57</f>
        <v>2469.4499999999998</v>
      </c>
      <c r="G4" s="16">
        <f>'Data Sheet (2)'!G57</f>
        <v>2474.04</v>
      </c>
      <c r="H4" s="16">
        <f>'Data Sheet (2)'!H57</f>
        <v>2479.67</v>
      </c>
      <c r="I4" s="16">
        <f>'Data Sheet (2)'!I57</f>
        <v>2488.94</v>
      </c>
      <c r="J4" s="16">
        <f>'Data Sheet (2)'!J57</f>
        <v>2494.87</v>
      </c>
      <c r="K4" s="16">
        <f>'Data Sheet (2)'!K57</f>
        <v>2504.39</v>
      </c>
    </row>
    <row r="5" spans="1:11" x14ac:dyDescent="0.3">
      <c r="A5" t="s">
        <v>44</v>
      </c>
      <c r="B5" s="16">
        <f>'Data Sheet (2)'!B58</f>
        <v>6138.22</v>
      </c>
      <c r="C5" s="16">
        <f>'Data Sheet (2)'!C58</f>
        <v>9411.06</v>
      </c>
      <c r="D5" s="16">
        <f>'Data Sheet (2)'!D58</f>
        <v>11449.79</v>
      </c>
      <c r="E5" s="16">
        <f>'Data Sheet (2)'!E58</f>
        <v>12687.59</v>
      </c>
      <c r="F5" s="16">
        <f>'Data Sheet (2)'!F58</f>
        <v>16303.75</v>
      </c>
      <c r="G5" s="16">
        <f>'Data Sheet (2)'!G58</f>
        <v>17473.66</v>
      </c>
      <c r="H5" s="16">
        <f>'Data Sheet (2)'!H58</f>
        <v>19048.7</v>
      </c>
      <c r="I5" s="16">
        <f>'Data Sheet (2)'!I58</f>
        <v>20949.5</v>
      </c>
      <c r="J5" s="16">
        <f>'Data Sheet (2)'!J58</f>
        <v>23069.19</v>
      </c>
      <c r="K5" s="16">
        <f>'Data Sheet (2)'!K58</f>
        <v>25479.14</v>
      </c>
    </row>
    <row r="6" spans="1:11" x14ac:dyDescent="0.3">
      <c r="A6" t="s">
        <v>43</v>
      </c>
      <c r="B6" s="16">
        <f>'Data Sheet (2)'!B59</f>
        <v>61024.45</v>
      </c>
      <c r="C6" s="16">
        <f>'Data Sheet (2)'!C59</f>
        <v>75248.28</v>
      </c>
      <c r="D6" s="16">
        <f>'Data Sheet (2)'!D59</f>
        <v>91506.98</v>
      </c>
      <c r="E6" s="16">
        <f>'Data Sheet (2)'!E59</f>
        <v>93934.07</v>
      </c>
      <c r="F6" s="16">
        <f>'Data Sheet (2)'!F59</f>
        <v>88591.57</v>
      </c>
      <c r="G6" s="16">
        <f>'Data Sheet (2)'!G59</f>
        <v>85236.76</v>
      </c>
      <c r="H6" s="16">
        <f>'Data Sheet (2)'!H59</f>
        <v>83104.899999999994</v>
      </c>
      <c r="I6" s="16">
        <f>'Data Sheet (2)'!I59</f>
        <v>76603.45</v>
      </c>
      <c r="J6" s="16">
        <f>'Data Sheet (2)'!J59</f>
        <v>92372.44</v>
      </c>
      <c r="K6" s="16">
        <f>'Data Sheet (2)'!K59</f>
        <v>110297.66</v>
      </c>
    </row>
    <row r="7" spans="1:11" x14ac:dyDescent="0.3">
      <c r="A7" t="s">
        <v>42</v>
      </c>
      <c r="B7" s="16">
        <f>'Data Sheet (2)'!B60</f>
        <v>3592.81</v>
      </c>
      <c r="C7" s="16">
        <f>'Data Sheet (2)'!C60</f>
        <v>1117.4000000000001</v>
      </c>
      <c r="D7" s="16">
        <f>'Data Sheet (2)'!D60</f>
        <v>1094.33</v>
      </c>
      <c r="E7" s="16">
        <f>'Data Sheet (2)'!E60</f>
        <v>902.07</v>
      </c>
      <c r="F7" s="16">
        <f>'Data Sheet (2)'!F60</f>
        <v>1581.99</v>
      </c>
      <c r="G7" s="16">
        <f>'Data Sheet (2)'!G60</f>
        <v>1695.92</v>
      </c>
      <c r="H7" s="16">
        <f>'Data Sheet (2)'!H60</f>
        <v>1705.53</v>
      </c>
      <c r="I7" s="16">
        <f>'Data Sheet (2)'!I60</f>
        <v>2651.95</v>
      </c>
      <c r="J7" s="16">
        <f>'Data Sheet (2)'!J60</f>
        <v>2447.2800000000002</v>
      </c>
      <c r="K7" s="16">
        <f>'Data Sheet (2)'!K60</f>
        <v>3902.54</v>
      </c>
    </row>
    <row r="8" spans="1:11" s="5" customFormat="1" x14ac:dyDescent="0.3">
      <c r="A8" s="5" t="s">
        <v>37</v>
      </c>
      <c r="B8" s="17">
        <f>'Data Sheet (2)'!B61</f>
        <v>72511.199999999997</v>
      </c>
      <c r="C8" s="17">
        <f>'Data Sheet (2)'!C61</f>
        <v>87772.42</v>
      </c>
      <c r="D8" s="17">
        <f>'Data Sheet (2)'!D61</f>
        <v>106049.91</v>
      </c>
      <c r="E8" s="17">
        <f>'Data Sheet (2)'!E61</f>
        <v>109528.56</v>
      </c>
      <c r="F8" s="17">
        <f>'Data Sheet (2)'!F61</f>
        <v>108946.76</v>
      </c>
      <c r="G8" s="17">
        <f>'Data Sheet (2)'!G61</f>
        <v>106880.38</v>
      </c>
      <c r="H8" s="17">
        <f>'Data Sheet (2)'!H61</f>
        <v>106338.8</v>
      </c>
      <c r="I8" s="17">
        <f>'Data Sheet (2)'!I61</f>
        <v>102693.84</v>
      </c>
      <c r="J8" s="17">
        <f>'Data Sheet (2)'!J61</f>
        <v>120383.78</v>
      </c>
      <c r="K8" s="17">
        <f>'Data Sheet (2)'!K61</f>
        <v>142183.73000000001</v>
      </c>
    </row>
    <row r="9" spans="1:11" s="5" customFormat="1" x14ac:dyDescent="0.3"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x14ac:dyDescent="0.3">
      <c r="A10" t="s">
        <v>41</v>
      </c>
      <c r="B10" s="16">
        <f>'Data Sheet (2)'!B62</f>
        <v>1229.8699999999999</v>
      </c>
      <c r="C10" s="16">
        <f>'Data Sheet (2)'!C62</f>
        <v>1150.72</v>
      </c>
      <c r="D10" s="16">
        <f>'Data Sheet (2)'!D62</f>
        <v>1127.3</v>
      </c>
      <c r="E10" s="16">
        <f>'Data Sheet (2)'!E62</f>
        <v>1100.07</v>
      </c>
      <c r="F10" s="16">
        <f>'Data Sheet (2)'!F62</f>
        <v>1138.29</v>
      </c>
      <c r="G10" s="16">
        <f>'Data Sheet (2)'!G62</f>
        <v>508.81</v>
      </c>
      <c r="H10" s="16">
        <f>'Data Sheet (2)'!H62</f>
        <v>552.52</v>
      </c>
      <c r="I10" s="16">
        <f>'Data Sheet (2)'!I62</f>
        <v>519.35</v>
      </c>
      <c r="J10" s="16">
        <f>'Data Sheet (2)'!J62</f>
        <v>640.96</v>
      </c>
      <c r="K10" s="16">
        <f>'Data Sheet (2)'!K62</f>
        <v>1307.6300000000001</v>
      </c>
    </row>
    <row r="11" spans="1:11" x14ac:dyDescent="0.3">
      <c r="A11" t="s">
        <v>40</v>
      </c>
      <c r="B11" s="16">
        <f>'Data Sheet (2)'!B63</f>
        <v>27.89</v>
      </c>
      <c r="C11" s="16">
        <f>'Data Sheet (2)'!C63</f>
        <v>19.34</v>
      </c>
      <c r="D11" s="16">
        <f>'Data Sheet (2)'!D63</f>
        <v>38.65</v>
      </c>
      <c r="E11" s="16">
        <f>'Data Sheet (2)'!E63</f>
        <v>62.04</v>
      </c>
      <c r="F11" s="16">
        <f>'Data Sheet (2)'!F63</f>
        <v>23.84</v>
      </c>
      <c r="G11" s="16">
        <f>'Data Sheet (2)'!G63</f>
        <v>21.81</v>
      </c>
      <c r="H11" s="16">
        <f>'Data Sheet (2)'!H63</f>
        <v>4.8099999999999996</v>
      </c>
      <c r="I11" s="16">
        <f>'Data Sheet (2)'!I63</f>
        <v>35.619999999999997</v>
      </c>
      <c r="J11" s="16">
        <f>'Data Sheet (2)'!J63</f>
        <v>45</v>
      </c>
      <c r="K11" s="16">
        <f>'Data Sheet (2)'!K63</f>
        <v>61.87</v>
      </c>
    </row>
    <row r="12" spans="1:11" x14ac:dyDescent="0.3">
      <c r="A12" t="s">
        <v>39</v>
      </c>
      <c r="B12" s="16">
        <f>'Data Sheet (2)'!B64</f>
        <v>6011.53</v>
      </c>
      <c r="C12" s="16">
        <f>'Data Sheet (2)'!C64</f>
        <v>5301.49</v>
      </c>
      <c r="D12" s="16">
        <f>'Data Sheet (2)'!D64</f>
        <v>8640.81</v>
      </c>
      <c r="E12" s="16">
        <f>'Data Sheet (2)'!E64</f>
        <v>5979.27</v>
      </c>
      <c r="F12" s="16">
        <f>'Data Sheet (2)'!F64</f>
        <v>8872.1299999999992</v>
      </c>
      <c r="G12" s="16">
        <f>'Data Sheet (2)'!G64</f>
        <v>11916.94</v>
      </c>
      <c r="H12" s="16">
        <f>'Data Sheet (2)'!H64</f>
        <v>14366.2</v>
      </c>
      <c r="I12" s="16">
        <f>'Data Sheet (2)'!I64</f>
        <v>12384.89</v>
      </c>
      <c r="J12" s="16">
        <f>'Data Sheet (2)'!J64</f>
        <v>11875.97</v>
      </c>
      <c r="K12" s="16">
        <f>'Data Sheet (2)'!K64</f>
        <v>10563.81</v>
      </c>
    </row>
    <row r="13" spans="1:11" x14ac:dyDescent="0.3">
      <c r="A13" t="s">
        <v>38</v>
      </c>
      <c r="B13" s="16">
        <f>'Data Sheet (2)'!B65</f>
        <v>65241.91</v>
      </c>
      <c r="C13" s="16">
        <f>'Data Sheet (2)'!C65</f>
        <v>81300.87</v>
      </c>
      <c r="D13" s="16">
        <f>'Data Sheet (2)'!D65</f>
        <v>96243.15</v>
      </c>
      <c r="E13" s="16">
        <f>'Data Sheet (2)'!E65</f>
        <v>102387.18</v>
      </c>
      <c r="F13" s="16">
        <f>'Data Sheet (2)'!F65</f>
        <v>98912.5</v>
      </c>
      <c r="G13" s="16">
        <f>'Data Sheet (2)'!G65</f>
        <v>94432.82</v>
      </c>
      <c r="H13" s="16">
        <f>'Data Sheet (2)'!H65</f>
        <v>91415.27</v>
      </c>
      <c r="I13" s="16">
        <f>'Data Sheet (2)'!I65</f>
        <v>89753.98</v>
      </c>
      <c r="J13" s="16">
        <f>'Data Sheet (2)'!J65</f>
        <v>107821.85</v>
      </c>
      <c r="K13" s="16">
        <f>'Data Sheet (2)'!K65</f>
        <v>130250.42</v>
      </c>
    </row>
    <row r="14" spans="1:11" s="5" customFormat="1" x14ac:dyDescent="0.3">
      <c r="A14" s="5" t="s">
        <v>37</v>
      </c>
      <c r="B14" s="16">
        <f>'Data Sheet (2)'!B66</f>
        <v>72511.199999999997</v>
      </c>
      <c r="C14" s="16">
        <f>'Data Sheet (2)'!C66</f>
        <v>87772.42</v>
      </c>
      <c r="D14" s="16">
        <f>'Data Sheet (2)'!D66</f>
        <v>106049.91</v>
      </c>
      <c r="E14" s="16">
        <f>'Data Sheet (2)'!E66</f>
        <v>109528.56</v>
      </c>
      <c r="F14" s="16">
        <f>'Data Sheet (2)'!F66</f>
        <v>108946.76</v>
      </c>
      <c r="G14" s="16">
        <f>'Data Sheet (2)'!G66</f>
        <v>106880.38</v>
      </c>
      <c r="H14" s="16">
        <f>'Data Sheet (2)'!H66</f>
        <v>106338.8</v>
      </c>
      <c r="I14" s="16">
        <f>'Data Sheet (2)'!I66</f>
        <v>102693.84</v>
      </c>
      <c r="J14" s="16">
        <f>'Data Sheet (2)'!J66</f>
        <v>120383.78</v>
      </c>
      <c r="K14" s="16">
        <f>'Data Sheet (2)'!K66</f>
        <v>142183.73000000001</v>
      </c>
    </row>
    <row r="15" spans="1:11" x14ac:dyDescent="0.3"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x14ac:dyDescent="0.3">
      <c r="A16" t="s">
        <v>36</v>
      </c>
      <c r="B16" s="15">
        <f>B13-B7</f>
        <v>61649.100000000006</v>
      </c>
      <c r="C16" s="15">
        <f>C13-C7</f>
        <v>80183.47</v>
      </c>
      <c r="D16" s="15">
        <f>D13-D7</f>
        <v>95148.819999999992</v>
      </c>
      <c r="E16" s="15">
        <f>E13-E7</f>
        <v>101485.10999999999</v>
      </c>
      <c r="F16" s="15">
        <f>F13-F7</f>
        <v>97330.51</v>
      </c>
      <c r="G16" s="15">
        <f>G13-G7</f>
        <v>92736.900000000009</v>
      </c>
      <c r="H16" s="15">
        <f>H13-H7</f>
        <v>89709.74</v>
      </c>
      <c r="I16" s="15">
        <f>I13-I7</f>
        <v>87102.03</v>
      </c>
      <c r="J16" s="15">
        <f>J13-J7</f>
        <v>105374.57</v>
      </c>
      <c r="K16" s="15">
        <f>K13-K7</f>
        <v>126347.88</v>
      </c>
    </row>
    <row r="17" spans="1:11" x14ac:dyDescent="0.3">
      <c r="A17" t="s">
        <v>35</v>
      </c>
      <c r="B17" s="15">
        <f>'Data Sheet (2)'!B67</f>
        <v>78.849999999999994</v>
      </c>
      <c r="C17" s="15">
        <f>'Data Sheet (2)'!C67</f>
        <v>126.44</v>
      </c>
      <c r="D17" s="15">
        <f>'Data Sheet (2)'!D67</f>
        <v>106.37</v>
      </c>
      <c r="E17" s="15">
        <f>'Data Sheet (2)'!E67</f>
        <v>64.739999999999995</v>
      </c>
      <c r="F17" s="15">
        <f>'Data Sheet (2)'!F67</f>
        <v>47.31</v>
      </c>
      <c r="G17" s="15">
        <f>'Data Sheet (2)'!G67</f>
        <v>15.92</v>
      </c>
      <c r="H17" s="15">
        <f>'Data Sheet (2)'!H67</f>
        <v>5.88</v>
      </c>
      <c r="I17" s="15">
        <f>'Data Sheet (2)'!I67</f>
        <v>247.28</v>
      </c>
      <c r="J17" s="15">
        <f>'Data Sheet (2)'!J67</f>
        <v>116.95</v>
      </c>
      <c r="K17" s="15">
        <f>'Data Sheet (2)'!K67</f>
        <v>102.47</v>
      </c>
    </row>
    <row r="18" spans="1:11" x14ac:dyDescent="0.3">
      <c r="A18" t="s">
        <v>34</v>
      </c>
      <c r="B18" s="15">
        <f>'Data Sheet (2)'!B68</f>
        <v>0</v>
      </c>
      <c r="C18" s="15">
        <f>'Data Sheet (2)'!C68</f>
        <v>0</v>
      </c>
      <c r="D18" s="15">
        <f>'Data Sheet (2)'!D68</f>
        <v>0</v>
      </c>
      <c r="E18" s="15">
        <f>'Data Sheet (2)'!E68</f>
        <v>0</v>
      </c>
      <c r="F18" s="15">
        <f>'Data Sheet (2)'!F68</f>
        <v>0</v>
      </c>
      <c r="G18" s="15">
        <f>'Data Sheet (2)'!G68</f>
        <v>0</v>
      </c>
      <c r="H18" s="15">
        <f>'Data Sheet (2)'!H68</f>
        <v>0</v>
      </c>
      <c r="I18" s="15">
        <f>'Data Sheet (2)'!I68</f>
        <v>0</v>
      </c>
      <c r="J18" s="15">
        <f>'Data Sheet (2)'!J68</f>
        <v>0</v>
      </c>
      <c r="K18" s="15">
        <f>'Data Sheet (2)'!K68</f>
        <v>0</v>
      </c>
    </row>
    <row r="20" spans="1:11" x14ac:dyDescent="0.3">
      <c r="A20" t="s">
        <v>33</v>
      </c>
      <c r="B20" s="15">
        <f>IF('Profit &amp; Loss (2)'!B4&gt;0,'Balance Sheet (2)'!B17/('Profit &amp; Loss (2)'!B4/365),0)</f>
        <v>3.3733786707737603</v>
      </c>
      <c r="C20" s="15">
        <f>IF('Profit &amp; Loss (2)'!C4&gt;0,'Balance Sheet (2)'!C17/('Profit &amp; Loss (2)'!C4/365),0)</f>
        <v>4.5181236569403458</v>
      </c>
      <c r="D20" s="15">
        <f>IF('Profit &amp; Loss (2)'!D4&gt;0,'Balance Sheet (2)'!D17/('Profit &amp; Loss (2)'!D4/365),0)</f>
        <v>2.9049946389543382</v>
      </c>
      <c r="E20" s="15">
        <f>IF('Profit &amp; Loss (2)'!E4&gt;0,'Balance Sheet (2)'!E17/('Profit &amp; Loss (2)'!E4/365),0)</f>
        <v>1.6754040663295544</v>
      </c>
      <c r="F20" s="15">
        <f>IF('Profit &amp; Loss (2)'!F4&gt;0,'Balance Sheet (2)'!F17/('Profit &amp; Loss (2)'!F4/365),0)</f>
        <v>1.2932183017108707</v>
      </c>
      <c r="G20" s="15">
        <f>IF('Profit &amp; Loss (2)'!G4&gt;0,'Balance Sheet (2)'!G17/('Profit &amp; Loss (2)'!G4/365),0)</f>
        <v>0.48708685046564448</v>
      </c>
      <c r="H20" s="15">
        <f>IF('Profit &amp; Loss (2)'!H4&gt;0,'Balance Sheet (2)'!H17/('Profit &amp; Loss (2)'!H4/365),0)</f>
        <v>0.16800065753682011</v>
      </c>
      <c r="I20" s="15">
        <f>IF('Profit &amp; Loss (2)'!I4&gt;0,'Balance Sheet (2)'!I17/('Profit &amp; Loss (2)'!I4/365),0)</f>
        <v>6.3330786270559809</v>
      </c>
      <c r="J20" s="15">
        <f>IF('Profit &amp; Loss (2)'!J4&gt;0,'Balance Sheet (2)'!J17/('Profit &amp; Loss (2)'!J4/365),0)</f>
        <v>2.6806145850602605</v>
      </c>
      <c r="K20" s="15">
        <f>IF('Profit &amp; Loss (2)'!K4&gt;0,'Balance Sheet (2)'!K17/('Profit &amp; Loss (2)'!K4/365),0)</f>
        <v>2.0878775817573958</v>
      </c>
    </row>
    <row r="21" spans="1:11" x14ac:dyDescent="0.3">
      <c r="A21" t="s">
        <v>32</v>
      </c>
      <c r="B21" s="15">
        <f>IF('Balance Sheet (2)'!B18&gt;0,'Profit &amp; Loss (2)'!B4/'Balance Sheet (2)'!B18,0)</f>
        <v>0</v>
      </c>
      <c r="C21" s="15">
        <f>IF('Balance Sheet (2)'!C18&gt;0,'Profit &amp; Loss (2)'!C4/'Balance Sheet (2)'!C18,0)</f>
        <v>0</v>
      </c>
      <c r="D21" s="15">
        <f>IF('Balance Sheet (2)'!D18&gt;0,'Profit &amp; Loss (2)'!D4/'Balance Sheet (2)'!D18,0)</f>
        <v>0</v>
      </c>
      <c r="E21" s="15">
        <f>IF('Balance Sheet (2)'!E18&gt;0,'Profit &amp; Loss (2)'!E4/'Balance Sheet (2)'!E18,0)</f>
        <v>0</v>
      </c>
      <c r="F21" s="15">
        <f>IF('Balance Sheet (2)'!F18&gt;0,'Profit &amp; Loss (2)'!F4/'Balance Sheet (2)'!F18,0)</f>
        <v>0</v>
      </c>
      <c r="G21" s="15">
        <f>IF('Balance Sheet (2)'!G18&gt;0,'Profit &amp; Loss (2)'!G4/'Balance Sheet (2)'!G18,0)</f>
        <v>0</v>
      </c>
      <c r="H21" s="15">
        <f>IF('Balance Sheet (2)'!H18&gt;0,'Profit &amp; Loss (2)'!H4/'Balance Sheet (2)'!H18,0)</f>
        <v>0</v>
      </c>
      <c r="I21" s="15">
        <f>IF('Balance Sheet (2)'!I18&gt;0,'Profit &amp; Loss (2)'!I4/'Balance Sheet (2)'!I18,0)</f>
        <v>0</v>
      </c>
      <c r="J21" s="15">
        <f>IF('Balance Sheet (2)'!J18&gt;0,'Profit &amp; Loss (2)'!J4/'Balance Sheet (2)'!J18,0)</f>
        <v>0</v>
      </c>
      <c r="K21" s="15">
        <f>IF('Balance Sheet (2)'!K18&gt;0,'Profit &amp; Loss (2)'!K4/'Balance Sheet (2)'!K18,0)</f>
        <v>0</v>
      </c>
    </row>
    <row r="23" spans="1:11" s="5" customFormat="1" x14ac:dyDescent="0.3">
      <c r="A23" s="5" t="s">
        <v>31</v>
      </c>
      <c r="B23" s="14">
        <f>IF(SUM('Balance Sheet (2)'!B4:B5)&gt;0,'Profit &amp; Loss (2)'!B12/SUM('Balance Sheet (2)'!B4:B5),"")</f>
        <v>0.13202405896168454</v>
      </c>
      <c r="C23" s="14">
        <f>IF(SUM('Balance Sheet (2)'!C4:C5)&gt;0,'Profit &amp; Loss (2)'!C12/SUM('Balance Sheet (2)'!C4:C5),"")</f>
        <v>0.10999461721753981</v>
      </c>
      <c r="D23" s="14">
        <f>IF(SUM('Balance Sheet (2)'!D4:D5)&gt;0,'Profit &amp; Loss (2)'!D12/SUM('Balance Sheet (2)'!D4:D5),"")</f>
        <v>0.16554139464330861</v>
      </c>
      <c r="E23" s="14">
        <f>IF(SUM('Balance Sheet (2)'!E4:E5)&gt;0,'Profit &amp; Loss (2)'!E12/SUM('Balance Sheet (2)'!E4:E5),"")</f>
        <v>0.11571749242126213</v>
      </c>
      <c r="F23" s="14">
        <f>IF(SUM('Balance Sheet (2)'!F4:F5)&gt;0,'Profit &amp; Loss (2)'!F12/SUM('Balance Sheet (2)'!F4:F5),"")</f>
        <v>5.1719472439434942E-2</v>
      </c>
      <c r="G23" s="14">
        <f>IF(SUM('Balance Sheet (2)'!G4:G5)&gt;0,'Profit &amp; Loss (2)'!G12/SUM('Balance Sheet (2)'!G4:G5),"")</f>
        <v>5.36457837244394E-2</v>
      </c>
      <c r="H23" s="14">
        <f>IF(SUM('Balance Sheet (2)'!H4:H5)&gt;0,'Profit &amp; Loss (2)'!H12/SUM('Balance Sheet (2)'!H4:H5),"")</f>
        <v>7.5400506401552922E-2</v>
      </c>
      <c r="I23" s="14">
        <f>IF(SUM('Balance Sheet (2)'!I4:I5)&gt;0,'Profit &amp; Loss (2)'!I12/SUM('Balance Sheet (2)'!I4:I5),"")</f>
        <v>9.8986963296192068E-2</v>
      </c>
      <c r="J23" s="14">
        <f>IF(SUM('Balance Sheet (2)'!J4:J5)&gt;0,'Profit &amp; Loss (2)'!J12/SUM('Balance Sheet (2)'!J4:J5),"")</f>
        <v>0.10341315111918843</v>
      </c>
      <c r="K23" s="14">
        <f>IF(SUM('Balance Sheet (2)'!K4:K5)&gt;0,'Profit &amp; Loss (2)'!K12/SUM('Balance Sheet (2)'!K4:K5),"")</f>
        <v>0.10653337874099515</v>
      </c>
    </row>
    <row r="24" spans="1:11" s="5" customFormat="1" x14ac:dyDescent="0.3">
      <c r="A24" s="5" t="s">
        <v>30</v>
      </c>
      <c r="B24" s="14"/>
      <c r="C24" s="14">
        <f>IF((B4+B5+B6+C4+C5+C6)&gt;0,('Profit &amp; Loss (2)'!C10+'Profit &amp; Loss (2)'!C9)*2/(B4+B5+B6+C4+C5+C6),"")</f>
        <v>8.8749227776134768E-2</v>
      </c>
      <c r="D24" s="14">
        <f>IF((C4+C5+C6+D4+D5+D6)&gt;0,('Profit &amp; Loss (2)'!D10+'Profit &amp; Loss (2)'!D9)*2/(C4+C5+C6+D4+D5+D6),"")</f>
        <v>0.10369217569382906</v>
      </c>
      <c r="E24" s="14">
        <f>IF((D4+D5+D6+E4+E5+E6)&gt;0,('Profit &amp; Loss (2)'!E10+'Profit &amp; Loss (2)'!E9)*2/(D4+D5+D6+E4+E5+E6),"")</f>
        <v>9.5816282705753333E-2</v>
      </c>
      <c r="F24" s="14">
        <f>IF((E4+E5+E6+F4+F5+F6)&gt;0,('Profit &amp; Loss (2)'!F10+'Profit &amp; Loss (2)'!F9)*2/(E4+E5+E6+F4+F5+F6),"")</f>
        <v>8.0578630820524855E-2</v>
      </c>
      <c r="G24" s="14">
        <f>IF((F4+F5+F6+G4+G5+G6)&gt;0,('Profit &amp; Loss (2)'!G10+'Profit &amp; Loss (2)'!G9)*2/(F4+F5+F6+G4+G5+G6),"")</f>
        <v>6.7634872165850707E-2</v>
      </c>
      <c r="H24" s="14">
        <f>IF((G4+G5+G6+H4+H5+H6)&gt;0,('Profit &amp; Loss (2)'!H10+'Profit &amp; Loss (2)'!H9)*2/(G4+G5+G6+H4+H5+H6),"")</f>
        <v>7.1686220225526232E-2</v>
      </c>
      <c r="I24" s="14">
        <f>IF((H4+H5+H6+I4+I5+I6)&gt;0,('Profit &amp; Loss (2)'!I10+'Profit &amp; Loss (2)'!I9)*2/(H4+H5+H6+I4+I5+I6),"")</f>
        <v>8.2234600427330815E-2</v>
      </c>
      <c r="J24" s="14">
        <f>IF((I4+I5+I6+J4+J5+J6)&gt;0,('Profit &amp; Loss (2)'!J10+'Profit &amp; Loss (2)'!J9)*2/(I4+I5+I6+J4+J5+J6),"")</f>
        <v>8.7145702837790481E-2</v>
      </c>
      <c r="K24" s="14">
        <f>IF((J4+J5+J6+K4+K5+K6)&gt;0,('Profit &amp; Loss (2)'!K10+'Profit &amp; Loss (2)'!K9)*2/(J4+J5+J6+K4+K5+K6),"")</f>
        <v>8.3772435853277732E-2</v>
      </c>
    </row>
  </sheetData>
  <hyperlinks>
    <hyperlink ref="J1" r:id="rId1" xr:uid="{B227F879-BD21-467F-BE8A-89B4584C8A77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C574-C626-4A44-A2A7-E1B9434DBEE6}">
  <sheetPr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5" customFormat="1" x14ac:dyDescent="0.3">
      <c r="A1" s="5" t="str">
        <f>'Balance Sheet (2)'!A1</f>
        <v>L&amp;T FINANCE LTD</v>
      </c>
      <c r="E1" t="str">
        <f>UPDATE</f>
        <v/>
      </c>
      <c r="F1"/>
      <c r="J1" s="5" t="s">
        <v>29</v>
      </c>
    </row>
    <row r="3" spans="1:11" s="5" customFormat="1" x14ac:dyDescent="0.3">
      <c r="A3" s="8" t="s">
        <v>28</v>
      </c>
      <c r="B3" s="7">
        <f>'Data Sheet (2)'!B81</f>
        <v>42825</v>
      </c>
      <c r="C3" s="7">
        <f>'Data Sheet (2)'!C81</f>
        <v>43190</v>
      </c>
      <c r="D3" s="7">
        <f>'Data Sheet (2)'!D81</f>
        <v>43555</v>
      </c>
      <c r="E3" s="7">
        <f>'Data Sheet (2)'!E81</f>
        <v>43921</v>
      </c>
      <c r="F3" s="7">
        <f>'Data Sheet (2)'!F81</f>
        <v>44286</v>
      </c>
      <c r="G3" s="7">
        <f>'Data Sheet (2)'!G81</f>
        <v>44651</v>
      </c>
      <c r="H3" s="7">
        <f>'Data Sheet (2)'!H81</f>
        <v>45016</v>
      </c>
      <c r="I3" s="7">
        <f>'Data Sheet (2)'!I81</f>
        <v>45382</v>
      </c>
      <c r="J3" s="7">
        <f>'Data Sheet (2)'!J81</f>
        <v>45747</v>
      </c>
      <c r="K3" s="7">
        <f>'Data Sheet (2)'!K81</f>
        <v>46112</v>
      </c>
    </row>
    <row r="4" spans="1:11" s="5" customFormat="1" x14ac:dyDescent="0.3">
      <c r="A4" s="5" t="s">
        <v>49</v>
      </c>
      <c r="B4" s="1">
        <f>'Data Sheet (2)'!B82</f>
        <v>-5779.41</v>
      </c>
      <c r="C4" s="1">
        <f>'Data Sheet (2)'!C82</f>
        <v>-15639.71</v>
      </c>
      <c r="D4" s="1">
        <f>'Data Sheet (2)'!D82</f>
        <v>-11643.45</v>
      </c>
      <c r="E4" s="1">
        <f>'Data Sheet (2)'!E82</f>
        <v>2161.7600000000002</v>
      </c>
      <c r="F4" s="1">
        <f>'Data Sheet (2)'!F82</f>
        <v>5464.3</v>
      </c>
      <c r="G4" s="1">
        <f>'Data Sheet (2)'!G82</f>
        <v>6078.06</v>
      </c>
      <c r="H4" s="1">
        <f>'Data Sheet (2)'!H82</f>
        <v>7490.47</v>
      </c>
      <c r="I4" s="1">
        <f>'Data Sheet (2)'!I82</f>
        <v>685.64</v>
      </c>
      <c r="J4" s="1">
        <f>'Data Sheet (2)'!J82</f>
        <v>-16587.47</v>
      </c>
      <c r="K4" s="1">
        <f>'Data Sheet (2)'!K82</f>
        <v>-14189.24</v>
      </c>
    </row>
    <row r="5" spans="1:11" x14ac:dyDescent="0.3">
      <c r="A5" t="s">
        <v>48</v>
      </c>
      <c r="B5" s="2">
        <f>'Data Sheet (2)'!B83</f>
        <v>-2117.54</v>
      </c>
      <c r="C5" s="2">
        <f>'Data Sheet (2)'!C83</f>
        <v>1548.8</v>
      </c>
      <c r="D5" s="2">
        <f>'Data Sheet (2)'!D83</f>
        <v>-3587.48</v>
      </c>
      <c r="E5" s="2">
        <f>'Data Sheet (2)'!E83</f>
        <v>159.75</v>
      </c>
      <c r="F5" s="2">
        <f>'Data Sheet (2)'!F83</f>
        <v>-2024.52</v>
      </c>
      <c r="G5" s="2">
        <f>'Data Sheet (2)'!G83</f>
        <v>-5086.8599999999997</v>
      </c>
      <c r="H5" s="2">
        <f>'Data Sheet (2)'!H83</f>
        <v>-1633.96</v>
      </c>
      <c r="I5" s="2">
        <f>'Data Sheet (2)'!I83</f>
        <v>848.62</v>
      </c>
      <c r="J5" s="2">
        <f>'Data Sheet (2)'!J83</f>
        <v>471.83</v>
      </c>
      <c r="K5" s="2">
        <f>'Data Sheet (2)'!K83</f>
        <v>366.9</v>
      </c>
    </row>
    <row r="6" spans="1:11" x14ac:dyDescent="0.3">
      <c r="A6" t="s">
        <v>47</v>
      </c>
      <c r="B6" s="2">
        <f>'Data Sheet (2)'!B84</f>
        <v>7952.1</v>
      </c>
      <c r="C6" s="2">
        <f>'Data Sheet (2)'!C84</f>
        <v>14677.8</v>
      </c>
      <c r="D6" s="2">
        <f>'Data Sheet (2)'!D84</f>
        <v>16008.19</v>
      </c>
      <c r="E6" s="2">
        <f>'Data Sheet (2)'!E84</f>
        <v>1450.53</v>
      </c>
      <c r="F6" s="2">
        <f>'Data Sheet (2)'!F84</f>
        <v>-2090.6799999999998</v>
      </c>
      <c r="G6" s="2">
        <f>'Data Sheet (2)'!G84</f>
        <v>-3023.01</v>
      </c>
      <c r="H6" s="2">
        <f>'Data Sheet (2)'!H84</f>
        <v>-1663.81</v>
      </c>
      <c r="I6" s="2">
        <f>'Data Sheet (2)'!I84</f>
        <v>-7049.59</v>
      </c>
      <c r="J6" s="2">
        <f>'Data Sheet (2)'!J84</f>
        <v>15418.51</v>
      </c>
      <c r="K6" s="2">
        <f>'Data Sheet (2)'!K84</f>
        <v>15415.06</v>
      </c>
    </row>
    <row r="7" spans="1:11" s="5" customFormat="1" x14ac:dyDescent="0.3">
      <c r="A7" s="5" t="s">
        <v>46</v>
      </c>
      <c r="B7" s="1">
        <f>'Data Sheet (2)'!B85</f>
        <v>55.15</v>
      </c>
      <c r="C7" s="1">
        <f>'Data Sheet (2)'!C85</f>
        <v>586.89</v>
      </c>
      <c r="D7" s="1">
        <f>'Data Sheet (2)'!D85</f>
        <v>777.26</v>
      </c>
      <c r="E7" s="1">
        <f>'Data Sheet (2)'!E85</f>
        <v>3772.04</v>
      </c>
      <c r="F7" s="1">
        <f>'Data Sheet (2)'!F85</f>
        <v>1349.1</v>
      </c>
      <c r="G7" s="1">
        <f>'Data Sheet (2)'!G85</f>
        <v>-2031.81</v>
      </c>
      <c r="H7" s="1">
        <f>'Data Sheet (2)'!H85</f>
        <v>4192.7</v>
      </c>
      <c r="I7" s="1">
        <f>'Data Sheet (2)'!I85</f>
        <v>-5515.33</v>
      </c>
      <c r="J7" s="1">
        <f>'Data Sheet (2)'!J85</f>
        <v>-697.13</v>
      </c>
      <c r="K7" s="1">
        <f>'Data Sheet (2)'!K85</f>
        <v>1592.72</v>
      </c>
    </row>
    <row r="8" spans="1:11" x14ac:dyDescent="0.3">
      <c r="B8" s="2"/>
      <c r="C8" s="2"/>
      <c r="D8" s="2"/>
      <c r="E8" s="2"/>
      <c r="F8" s="2"/>
      <c r="G8" s="2"/>
      <c r="H8" s="2"/>
      <c r="I8" s="2"/>
      <c r="J8" s="2"/>
      <c r="K8" s="2"/>
    </row>
    <row r="24" customFormat="1" x14ac:dyDescent="0.3"/>
  </sheetData>
  <hyperlinks>
    <hyperlink ref="J1" r:id="rId1" xr:uid="{3EA156A1-C152-4E40-BBED-5859653EDCDA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58F8-1F98-49C1-B6AD-2B8D5F6B8828}"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5"/>
    <col min="2" max="2" width="10.44140625" customWidth="1"/>
    <col min="3" max="3" width="13.33203125" style="18" customWidth="1"/>
    <col min="6" max="6" width="6.77734375" customWidth="1"/>
  </cols>
  <sheetData>
    <row r="1" spans="1:7" ht="21" x14ac:dyDescent="0.4">
      <c r="A1" s="21" t="s">
        <v>61</v>
      </c>
    </row>
    <row r="3" spans="1:7" x14ac:dyDescent="0.3">
      <c r="A3" s="5" t="s">
        <v>60</v>
      </c>
    </row>
    <row r="4" spans="1:7" x14ac:dyDescent="0.3">
      <c r="B4" t="s">
        <v>59</v>
      </c>
    </row>
    <row r="5" spans="1:7" x14ac:dyDescent="0.3">
      <c r="B5" t="s">
        <v>58</v>
      </c>
    </row>
    <row r="7" spans="1:7" x14ac:dyDescent="0.3">
      <c r="A7" s="5" t="s">
        <v>57</v>
      </c>
    </row>
    <row r="8" spans="1:7" x14ac:dyDescent="0.3">
      <c r="B8" t="s">
        <v>56</v>
      </c>
      <c r="C8" s="20" t="s">
        <v>55</v>
      </c>
    </row>
    <row r="10" spans="1:7" x14ac:dyDescent="0.3">
      <c r="A10" s="5" t="s">
        <v>54</v>
      </c>
    </row>
    <row r="11" spans="1:7" x14ac:dyDescent="0.3">
      <c r="B11" t="s">
        <v>53</v>
      </c>
    </row>
    <row r="14" spans="1:7" x14ac:dyDescent="0.3">
      <c r="A14" s="5" t="s">
        <v>52</v>
      </c>
    </row>
    <row r="15" spans="1:7" x14ac:dyDescent="0.3">
      <c r="B15" t="s">
        <v>51</v>
      </c>
    </row>
    <row r="16" spans="1:7" x14ac:dyDescent="0.3">
      <c r="B16" t="s">
        <v>50</v>
      </c>
      <c r="G16" s="19"/>
    </row>
  </sheetData>
  <hyperlinks>
    <hyperlink ref="C8" r:id="rId1" display=" http://www.screener.in/excel" xr:uid="{FACC94EC-0D4B-4504-B86B-7E886D7C91F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EF51-5D3B-4CC9-A06B-180B1B975011}">
  <dimension ref="A1:K93"/>
  <sheetViews>
    <sheetView zoomScale="120" zoomScaleNormal="120" zoomScalePageLayoutView="120" workbookViewId="0">
      <pane xSplit="1" ySplit="1" topLeftCell="E41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15" bestFit="1" customWidth="1"/>
    <col min="2" max="11" width="13.44140625" style="15" bestFit="1" customWidth="1"/>
    <col min="12" max="16384" width="8.77734375" style="15"/>
  </cols>
  <sheetData>
    <row r="1" spans="1:11" s="1" customFormat="1" x14ac:dyDescent="0.3">
      <c r="A1" s="1" t="s">
        <v>92</v>
      </c>
      <c r="B1" s="1" t="s">
        <v>93</v>
      </c>
      <c r="E1" s="26" t="str">
        <f>IF(B2&lt;&gt;B3, "A NEW VERSION OF THE WORKSHEET IS AVAILABLE", "")</f>
        <v/>
      </c>
      <c r="F1" s="26"/>
      <c r="G1" s="26"/>
      <c r="H1" s="26"/>
      <c r="I1" s="26"/>
      <c r="J1" s="26"/>
      <c r="K1" s="26"/>
    </row>
    <row r="2" spans="1:11" x14ac:dyDescent="0.3">
      <c r="A2" s="1" t="s">
        <v>90</v>
      </c>
      <c r="B2" s="15">
        <v>2.1</v>
      </c>
      <c r="E2" s="25" t="s">
        <v>89</v>
      </c>
      <c r="F2" s="25"/>
      <c r="G2" s="25"/>
      <c r="H2" s="25"/>
      <c r="I2" s="25"/>
      <c r="J2" s="25"/>
      <c r="K2" s="25"/>
    </row>
    <row r="3" spans="1:11" x14ac:dyDescent="0.3">
      <c r="A3" s="1" t="s">
        <v>88</v>
      </c>
      <c r="B3" s="15">
        <v>2.1</v>
      </c>
    </row>
    <row r="4" spans="1:11" x14ac:dyDescent="0.3">
      <c r="A4" s="1"/>
    </row>
    <row r="5" spans="1:11" x14ac:dyDescent="0.3">
      <c r="A5" s="1" t="s">
        <v>87</v>
      </c>
    </row>
    <row r="6" spans="1:11" x14ac:dyDescent="0.3">
      <c r="A6" s="15" t="s">
        <v>86</v>
      </c>
      <c r="B6" s="15">
        <f>IF(B9&gt;0, B9/B8, 0)</f>
        <v>250.88423913043476</v>
      </c>
    </row>
    <row r="7" spans="1:11" x14ac:dyDescent="0.3">
      <c r="A7" s="15" t="s">
        <v>85</v>
      </c>
      <c r="B7">
        <v>10</v>
      </c>
    </row>
    <row r="8" spans="1:11" x14ac:dyDescent="0.3">
      <c r="A8" s="15" t="s">
        <v>84</v>
      </c>
      <c r="B8">
        <v>312.8</v>
      </c>
    </row>
    <row r="9" spans="1:11" x14ac:dyDescent="0.3">
      <c r="A9" s="15" t="s">
        <v>83</v>
      </c>
      <c r="B9">
        <v>78476.59</v>
      </c>
    </row>
    <row r="15" spans="1:11" x14ac:dyDescent="0.3">
      <c r="A15" s="1" t="s">
        <v>82</v>
      </c>
    </row>
    <row r="16" spans="1:11" s="23" customFormat="1" x14ac:dyDescent="0.3">
      <c r="A16" s="24" t="s">
        <v>65</v>
      </c>
      <c r="B16" s="7">
        <v>42825</v>
      </c>
      <c r="C16" s="7">
        <v>43190</v>
      </c>
      <c r="D16" s="7">
        <v>43555</v>
      </c>
      <c r="E16" s="7">
        <v>43921</v>
      </c>
      <c r="F16" s="7">
        <v>44286</v>
      </c>
      <c r="G16" s="7">
        <v>44651</v>
      </c>
      <c r="H16" s="7">
        <v>45016</v>
      </c>
      <c r="I16" s="7">
        <v>45382</v>
      </c>
      <c r="J16" s="7">
        <v>45747</v>
      </c>
      <c r="K16" s="7">
        <v>46112</v>
      </c>
    </row>
    <row r="17" spans="1:11" s="2" customFormat="1" x14ac:dyDescent="0.3">
      <c r="A17" s="2" t="s">
        <v>24</v>
      </c>
      <c r="B17">
        <v>8531.58</v>
      </c>
      <c r="C17">
        <v>10214.549999999999</v>
      </c>
      <c r="D17">
        <v>13364.93</v>
      </c>
      <c r="E17">
        <v>14104.12</v>
      </c>
      <c r="F17">
        <v>13352.85</v>
      </c>
      <c r="G17">
        <v>11929.7</v>
      </c>
      <c r="H17">
        <v>12774.95</v>
      </c>
      <c r="I17">
        <v>14251.71</v>
      </c>
      <c r="J17">
        <v>15924.24</v>
      </c>
      <c r="K17">
        <v>17913.669999999998</v>
      </c>
    </row>
    <row r="18" spans="1:11" s="2" customFormat="1" x14ac:dyDescent="0.3">
      <c r="A18" s="15" t="s">
        <v>81</v>
      </c>
    </row>
    <row r="19" spans="1:11" s="2" customFormat="1" x14ac:dyDescent="0.3">
      <c r="A19" s="15" t="s">
        <v>80</v>
      </c>
    </row>
    <row r="20" spans="1:11" s="2" customFormat="1" x14ac:dyDescent="0.3">
      <c r="A20" s="15" t="s">
        <v>79</v>
      </c>
      <c r="B20">
        <v>5.87</v>
      </c>
      <c r="C20">
        <v>7.76</v>
      </c>
      <c r="D20">
        <v>8.61</v>
      </c>
      <c r="E20">
        <v>8.08</v>
      </c>
      <c r="F20">
        <v>6.29</v>
      </c>
      <c r="G20">
        <v>6.49</v>
      </c>
      <c r="H20">
        <v>6.13</v>
      </c>
    </row>
    <row r="21" spans="1:11" s="2" customFormat="1" x14ac:dyDescent="0.3">
      <c r="A21" s="15" t="s">
        <v>78</v>
      </c>
      <c r="B21">
        <v>59.24</v>
      </c>
      <c r="C21">
        <v>510.99</v>
      </c>
      <c r="D21">
        <v>1243.1600000000001</v>
      </c>
      <c r="E21">
        <v>429.58</v>
      </c>
      <c r="F21">
        <v>736.46</v>
      </c>
      <c r="G21">
        <v>1454.35</v>
      </c>
      <c r="H21">
        <v>1047.06</v>
      </c>
      <c r="I21">
        <v>1552.94</v>
      </c>
      <c r="J21">
        <v>307</v>
      </c>
      <c r="K21">
        <v>606.97</v>
      </c>
    </row>
    <row r="22" spans="1:11" s="2" customFormat="1" x14ac:dyDescent="0.3">
      <c r="A22" s="15" t="s">
        <v>77</v>
      </c>
      <c r="B22">
        <v>499.18</v>
      </c>
      <c r="C22">
        <v>413.57</v>
      </c>
      <c r="D22">
        <v>829.1</v>
      </c>
      <c r="E22">
        <v>1066.44</v>
      </c>
      <c r="F22">
        <v>941.12</v>
      </c>
      <c r="G22">
        <v>1099.0999999999999</v>
      </c>
      <c r="H22">
        <v>1409.89</v>
      </c>
      <c r="I22">
        <v>1808.9</v>
      </c>
      <c r="J22">
        <v>2217.66</v>
      </c>
      <c r="K22">
        <v>2456.63</v>
      </c>
    </row>
    <row r="23" spans="1:11" s="2" customFormat="1" x14ac:dyDescent="0.3">
      <c r="A23" s="15" t="s">
        <v>76</v>
      </c>
      <c r="B23">
        <v>400.93</v>
      </c>
      <c r="C23">
        <v>368.85</v>
      </c>
      <c r="D23">
        <v>570.03</v>
      </c>
      <c r="E23">
        <v>606.01</v>
      </c>
      <c r="F23">
        <v>714.18</v>
      </c>
      <c r="G23">
        <v>945.62</v>
      </c>
      <c r="H23">
        <v>1197.6300000000001</v>
      </c>
      <c r="I23">
        <v>1487.64</v>
      </c>
      <c r="J23">
        <v>1537.44</v>
      </c>
      <c r="K23">
        <v>1615.61</v>
      </c>
    </row>
    <row r="24" spans="1:11" s="2" customFormat="1" x14ac:dyDescent="0.3">
      <c r="A24" s="15" t="s">
        <v>75</v>
      </c>
      <c r="B24">
        <v>1810.73</v>
      </c>
      <c r="C24">
        <v>2006.64</v>
      </c>
      <c r="D24">
        <v>726.42</v>
      </c>
      <c r="E24">
        <v>2050.06</v>
      </c>
      <c r="F24">
        <v>3003.12</v>
      </c>
      <c r="G24">
        <v>1727.49</v>
      </c>
      <c r="H24">
        <v>4274.6000000000004</v>
      </c>
      <c r="I24">
        <v>1345.68</v>
      </c>
      <c r="J24">
        <v>2241.56</v>
      </c>
      <c r="K24">
        <v>2266.62</v>
      </c>
    </row>
    <row r="25" spans="1:11" s="2" customFormat="1" x14ac:dyDescent="0.3">
      <c r="A25" s="2" t="s">
        <v>21</v>
      </c>
      <c r="B25">
        <v>25.93</v>
      </c>
      <c r="C25">
        <v>48.7</v>
      </c>
      <c r="D25">
        <v>-3.73</v>
      </c>
      <c r="E25">
        <v>369.96</v>
      </c>
      <c r="F25">
        <v>836.12</v>
      </c>
      <c r="G25">
        <v>593.86</v>
      </c>
      <c r="H25">
        <v>2792.12</v>
      </c>
      <c r="I25">
        <v>473.91</v>
      </c>
      <c r="J25">
        <v>16.260000000000002</v>
      </c>
      <c r="K25">
        <v>-26.16</v>
      </c>
    </row>
    <row r="26" spans="1:11" s="2" customFormat="1" x14ac:dyDescent="0.3">
      <c r="A26" s="2" t="s">
        <v>20</v>
      </c>
      <c r="B26">
        <v>67.3</v>
      </c>
      <c r="C26">
        <v>51.93</v>
      </c>
      <c r="D26">
        <v>49.62</v>
      </c>
      <c r="E26">
        <v>81.59</v>
      </c>
      <c r="F26">
        <v>85.66</v>
      </c>
      <c r="G26">
        <v>102.64</v>
      </c>
      <c r="H26">
        <v>111.24</v>
      </c>
      <c r="I26">
        <v>114.77</v>
      </c>
      <c r="J26">
        <v>138.9</v>
      </c>
      <c r="K26">
        <v>209.69</v>
      </c>
    </row>
    <row r="27" spans="1:11" s="2" customFormat="1" x14ac:dyDescent="0.3">
      <c r="A27" s="2" t="s">
        <v>19</v>
      </c>
      <c r="B27">
        <v>4635.3599999999997</v>
      </c>
      <c r="C27">
        <v>5457.75</v>
      </c>
      <c r="D27">
        <v>6882.28</v>
      </c>
      <c r="E27">
        <v>7552.24</v>
      </c>
      <c r="F27">
        <v>7230.15</v>
      </c>
      <c r="G27">
        <v>5765.01</v>
      </c>
      <c r="H27">
        <v>5811.67</v>
      </c>
      <c r="I27">
        <v>5386.66</v>
      </c>
      <c r="J27">
        <v>6006.68</v>
      </c>
      <c r="K27">
        <v>6733.82</v>
      </c>
    </row>
    <row r="28" spans="1:11" s="2" customFormat="1" x14ac:dyDescent="0.3">
      <c r="A28" s="2" t="s">
        <v>18</v>
      </c>
      <c r="B28">
        <v>1078.9000000000001</v>
      </c>
      <c r="C28">
        <v>1445.76</v>
      </c>
      <c r="D28">
        <v>3051.98</v>
      </c>
      <c r="E28">
        <v>2680.08</v>
      </c>
      <c r="F28">
        <v>1471.99</v>
      </c>
      <c r="G28">
        <v>1422.86</v>
      </c>
      <c r="H28">
        <v>1708.85</v>
      </c>
      <c r="I28">
        <v>3029.03</v>
      </c>
      <c r="J28">
        <v>3491.26</v>
      </c>
      <c r="K28">
        <v>3998.17</v>
      </c>
    </row>
    <row r="29" spans="1:11" s="2" customFormat="1" x14ac:dyDescent="0.3">
      <c r="A29" s="2" t="s">
        <v>17</v>
      </c>
      <c r="B29">
        <v>36.44</v>
      </c>
      <c r="C29">
        <v>168.24</v>
      </c>
      <c r="D29">
        <v>819.95</v>
      </c>
      <c r="E29">
        <v>979.82</v>
      </c>
      <c r="F29">
        <v>523.11</v>
      </c>
      <c r="G29">
        <v>373.62</v>
      </c>
      <c r="H29">
        <v>172.37</v>
      </c>
      <c r="I29">
        <v>711.9</v>
      </c>
      <c r="J29">
        <v>847.84</v>
      </c>
      <c r="K29">
        <v>1015.3</v>
      </c>
    </row>
    <row r="30" spans="1:11" s="2" customFormat="1" x14ac:dyDescent="0.3">
      <c r="A30" s="2" t="s">
        <v>16</v>
      </c>
      <c r="B30">
        <v>1042.19</v>
      </c>
      <c r="C30">
        <v>1254.68</v>
      </c>
      <c r="D30">
        <v>2226.3000000000002</v>
      </c>
      <c r="E30">
        <v>1700.17</v>
      </c>
      <c r="F30">
        <v>970.94</v>
      </c>
      <c r="G30">
        <v>1070.1099999999999</v>
      </c>
      <c r="H30">
        <v>1623.25</v>
      </c>
      <c r="I30">
        <v>2320.1</v>
      </c>
      <c r="J30">
        <v>2643.66</v>
      </c>
      <c r="K30">
        <v>2981.18</v>
      </c>
    </row>
    <row r="31" spans="1:11" s="2" customFormat="1" x14ac:dyDescent="0.3">
      <c r="A31" s="2" t="s">
        <v>74</v>
      </c>
      <c r="B31">
        <v>140.46</v>
      </c>
      <c r="C31">
        <v>199.57</v>
      </c>
      <c r="D31">
        <v>199.88</v>
      </c>
      <c r="E31">
        <v>180.43</v>
      </c>
      <c r="G31">
        <v>123.7</v>
      </c>
      <c r="H31">
        <v>495.93</v>
      </c>
      <c r="I31">
        <v>622.24</v>
      </c>
      <c r="J31">
        <v>686.09</v>
      </c>
      <c r="K31">
        <v>688.71</v>
      </c>
    </row>
    <row r="32" spans="1:11" s="2" customFormat="1" x14ac:dyDescent="0.3"/>
    <row r="33" spans="1:11" x14ac:dyDescent="0.3">
      <c r="A33" s="2"/>
    </row>
    <row r="34" spans="1:11" x14ac:dyDescent="0.3">
      <c r="A34" s="2"/>
    </row>
    <row r="35" spans="1:11" x14ac:dyDescent="0.3">
      <c r="A35" s="2"/>
    </row>
    <row r="36" spans="1:11" x14ac:dyDescent="0.3">
      <c r="A36" s="2"/>
    </row>
    <row r="37" spans="1:11" x14ac:dyDescent="0.3">
      <c r="A37" s="2"/>
    </row>
    <row r="38" spans="1:11" x14ac:dyDescent="0.3">
      <c r="A38" s="2"/>
    </row>
    <row r="39" spans="1:11" x14ac:dyDescent="0.3">
      <c r="A39" s="2"/>
    </row>
    <row r="40" spans="1:11" x14ac:dyDescent="0.3">
      <c r="A40" s="1" t="s">
        <v>73</v>
      </c>
    </row>
    <row r="41" spans="1:11" s="23" customFormat="1" x14ac:dyDescent="0.3">
      <c r="A41" s="24" t="s">
        <v>65</v>
      </c>
      <c r="B41" s="7">
        <v>45382</v>
      </c>
      <c r="C41" s="7">
        <v>45473</v>
      </c>
      <c r="D41" s="7">
        <v>45565</v>
      </c>
      <c r="E41" s="7">
        <v>45657</v>
      </c>
      <c r="F41" s="7">
        <v>45747</v>
      </c>
      <c r="G41" s="7">
        <v>45838</v>
      </c>
      <c r="H41" s="7">
        <v>45930</v>
      </c>
      <c r="I41" s="7">
        <v>46022</v>
      </c>
      <c r="J41" s="7">
        <v>46112</v>
      </c>
      <c r="K41" s="7">
        <v>46203</v>
      </c>
    </row>
    <row r="42" spans="1:11" s="2" customFormat="1" x14ac:dyDescent="0.3">
      <c r="A42" s="2" t="s">
        <v>24</v>
      </c>
      <c r="B42">
        <v>3670.3</v>
      </c>
      <c r="C42">
        <v>3784.4</v>
      </c>
      <c r="D42">
        <v>4019.34</v>
      </c>
      <c r="E42">
        <v>4097.58</v>
      </c>
      <c r="F42">
        <v>4022.92</v>
      </c>
      <c r="G42">
        <v>4259.57</v>
      </c>
      <c r="H42">
        <v>4335.75</v>
      </c>
      <c r="I42">
        <v>4578.2700000000004</v>
      </c>
      <c r="J42">
        <v>4771.03</v>
      </c>
      <c r="K42">
        <v>5212.92</v>
      </c>
    </row>
    <row r="43" spans="1:11" s="2" customFormat="1" x14ac:dyDescent="0.3">
      <c r="A43" s="2" t="s">
        <v>23</v>
      </c>
      <c r="B43">
        <v>1619.08</v>
      </c>
      <c r="C43">
        <v>1482.49</v>
      </c>
      <c r="D43">
        <v>1574.88</v>
      </c>
      <c r="E43">
        <v>1675.8</v>
      </c>
      <c r="F43">
        <v>1580.89</v>
      </c>
      <c r="G43">
        <v>1639.95</v>
      </c>
      <c r="H43">
        <v>1661.69</v>
      </c>
      <c r="I43">
        <v>1800.09</v>
      </c>
      <c r="J43">
        <v>1889.8</v>
      </c>
      <c r="K43">
        <v>1974.28</v>
      </c>
    </row>
    <row r="44" spans="1:11" s="2" customFormat="1" x14ac:dyDescent="0.3">
      <c r="A44" s="2" t="s">
        <v>21</v>
      </c>
      <c r="B44">
        <v>5.55</v>
      </c>
      <c r="C44">
        <v>0.21</v>
      </c>
      <c r="D44">
        <v>4.68</v>
      </c>
      <c r="E44">
        <v>7.55</v>
      </c>
      <c r="F44">
        <v>4.3</v>
      </c>
      <c r="G44">
        <v>0.03</v>
      </c>
      <c r="H44">
        <v>0.04</v>
      </c>
      <c r="I44">
        <v>-25.29</v>
      </c>
      <c r="J44">
        <v>7.0000000000000007E-2</v>
      </c>
      <c r="K44">
        <v>30.39</v>
      </c>
    </row>
    <row r="45" spans="1:11" s="2" customFormat="1" x14ac:dyDescent="0.3">
      <c r="A45" s="2" t="s">
        <v>20</v>
      </c>
      <c r="B45">
        <v>27.66</v>
      </c>
      <c r="C45">
        <v>28.44</v>
      </c>
      <c r="D45">
        <v>33.29</v>
      </c>
      <c r="E45">
        <v>36.19</v>
      </c>
      <c r="F45">
        <v>40.98</v>
      </c>
      <c r="G45">
        <v>40.69</v>
      </c>
      <c r="H45">
        <v>50.95</v>
      </c>
      <c r="I45">
        <v>57.7</v>
      </c>
      <c r="J45">
        <v>60.35</v>
      </c>
      <c r="K45">
        <v>62.68</v>
      </c>
    </row>
    <row r="46" spans="1:11" s="2" customFormat="1" x14ac:dyDescent="0.3">
      <c r="A46" s="2" t="s">
        <v>19</v>
      </c>
      <c r="B46">
        <v>1335.09</v>
      </c>
      <c r="C46">
        <v>1351.41</v>
      </c>
      <c r="D46">
        <v>1476.28</v>
      </c>
      <c r="E46">
        <v>1569.24</v>
      </c>
      <c r="F46">
        <v>1599.83</v>
      </c>
      <c r="G46">
        <v>1635.74</v>
      </c>
      <c r="H46">
        <v>1634.29</v>
      </c>
      <c r="I46">
        <v>1703.02</v>
      </c>
      <c r="J46">
        <v>1747.03</v>
      </c>
      <c r="K46">
        <v>1970.07</v>
      </c>
    </row>
    <row r="47" spans="1:11" s="2" customFormat="1" x14ac:dyDescent="0.3">
      <c r="A47" s="2" t="s">
        <v>18</v>
      </c>
      <c r="B47">
        <v>694.02</v>
      </c>
      <c r="C47">
        <v>922.27</v>
      </c>
      <c r="D47">
        <v>939.57</v>
      </c>
      <c r="E47">
        <v>823.9</v>
      </c>
      <c r="F47">
        <v>805.52</v>
      </c>
      <c r="G47">
        <v>943.22</v>
      </c>
      <c r="H47">
        <v>988.86</v>
      </c>
      <c r="I47">
        <v>992.17</v>
      </c>
      <c r="J47">
        <v>1073.92</v>
      </c>
      <c r="K47">
        <v>1236.28</v>
      </c>
    </row>
    <row r="48" spans="1:11" s="2" customFormat="1" x14ac:dyDescent="0.3">
      <c r="A48" s="2" t="s">
        <v>17</v>
      </c>
      <c r="B48">
        <v>141</v>
      </c>
      <c r="C48">
        <v>237.02</v>
      </c>
      <c r="D48">
        <v>242.89</v>
      </c>
      <c r="E48">
        <v>198.25</v>
      </c>
      <c r="F48">
        <v>169.68</v>
      </c>
      <c r="G48">
        <v>242.38</v>
      </c>
      <c r="H48">
        <v>253.98</v>
      </c>
      <c r="I48">
        <v>254.18</v>
      </c>
      <c r="J48">
        <v>264.76</v>
      </c>
      <c r="K48">
        <v>320.29000000000002</v>
      </c>
    </row>
    <row r="49" spans="1:11" s="2" customFormat="1" x14ac:dyDescent="0.3">
      <c r="A49" s="2" t="s">
        <v>16</v>
      </c>
      <c r="B49">
        <v>553.88</v>
      </c>
      <c r="C49">
        <v>685.51</v>
      </c>
      <c r="D49">
        <v>695.58</v>
      </c>
      <c r="E49">
        <v>626.4</v>
      </c>
      <c r="F49">
        <v>636.16999999999996</v>
      </c>
      <c r="G49">
        <v>701.1</v>
      </c>
      <c r="H49">
        <v>734.84</v>
      </c>
      <c r="I49">
        <v>738.61</v>
      </c>
      <c r="J49">
        <v>806.63</v>
      </c>
      <c r="K49">
        <v>902.47</v>
      </c>
    </row>
    <row r="50" spans="1:11" x14ac:dyDescent="0.3">
      <c r="A50" s="2" t="s">
        <v>22</v>
      </c>
      <c r="B50">
        <v>2051.2199999999998</v>
      </c>
      <c r="C50">
        <v>2301.91</v>
      </c>
      <c r="D50">
        <v>2444.46</v>
      </c>
      <c r="E50">
        <v>2421.7800000000002</v>
      </c>
      <c r="F50">
        <v>2442.0300000000002</v>
      </c>
      <c r="G50">
        <v>2619.62</v>
      </c>
      <c r="H50">
        <v>2674.06</v>
      </c>
      <c r="I50">
        <v>2778.18</v>
      </c>
      <c r="J50">
        <v>2881.23</v>
      </c>
      <c r="K50">
        <v>3238.64</v>
      </c>
    </row>
    <row r="51" spans="1:11" x14ac:dyDescent="0.3">
      <c r="A51" s="2"/>
    </row>
    <row r="52" spans="1:11" x14ac:dyDescent="0.3">
      <c r="A52" s="2"/>
    </row>
    <row r="53" spans="1:11" x14ac:dyDescent="0.3">
      <c r="A53" s="2"/>
    </row>
    <row r="54" spans="1:11" x14ac:dyDescent="0.3">
      <c r="A54" s="2"/>
    </row>
    <row r="55" spans="1:11" x14ac:dyDescent="0.3">
      <c r="A55" s="1" t="s">
        <v>72</v>
      </c>
    </row>
    <row r="56" spans="1:11" s="23" customFormat="1" x14ac:dyDescent="0.3">
      <c r="A56" s="24" t="s">
        <v>65</v>
      </c>
      <c r="B56" s="7">
        <v>42825</v>
      </c>
      <c r="C56" s="7">
        <v>43190</v>
      </c>
      <c r="D56" s="7">
        <v>43555</v>
      </c>
      <c r="E56" s="7">
        <v>43921</v>
      </c>
      <c r="F56" s="7">
        <v>44286</v>
      </c>
      <c r="G56" s="7">
        <v>44651</v>
      </c>
      <c r="H56" s="7">
        <v>45016</v>
      </c>
      <c r="I56" s="7">
        <v>45382</v>
      </c>
      <c r="J56" s="7">
        <v>45747</v>
      </c>
      <c r="K56" s="7">
        <v>46112</v>
      </c>
    </row>
    <row r="57" spans="1:11" x14ac:dyDescent="0.3">
      <c r="A57" s="2" t="s">
        <v>45</v>
      </c>
      <c r="B57">
        <v>1755.72</v>
      </c>
      <c r="C57">
        <v>1995.68</v>
      </c>
      <c r="D57">
        <v>1998.81</v>
      </c>
      <c r="E57">
        <v>2004.83</v>
      </c>
      <c r="F57">
        <v>2469.4499999999998</v>
      </c>
      <c r="G57">
        <v>2474.04</v>
      </c>
      <c r="H57">
        <v>2479.67</v>
      </c>
      <c r="I57">
        <v>2488.94</v>
      </c>
      <c r="J57">
        <v>2494.87</v>
      </c>
      <c r="K57">
        <v>2504.39</v>
      </c>
    </row>
    <row r="58" spans="1:11" x14ac:dyDescent="0.3">
      <c r="A58" s="2" t="s">
        <v>44</v>
      </c>
      <c r="B58">
        <v>6138.22</v>
      </c>
      <c r="C58">
        <v>9411.06</v>
      </c>
      <c r="D58">
        <v>11449.79</v>
      </c>
      <c r="E58">
        <v>12687.59</v>
      </c>
      <c r="F58">
        <v>16303.75</v>
      </c>
      <c r="G58">
        <v>17473.66</v>
      </c>
      <c r="H58">
        <v>19048.7</v>
      </c>
      <c r="I58">
        <v>20949.5</v>
      </c>
      <c r="J58">
        <v>23069.19</v>
      </c>
      <c r="K58">
        <v>25479.14</v>
      </c>
    </row>
    <row r="59" spans="1:11" x14ac:dyDescent="0.3">
      <c r="A59" s="2" t="s">
        <v>43</v>
      </c>
      <c r="B59">
        <v>61024.45</v>
      </c>
      <c r="C59">
        <v>75248.28</v>
      </c>
      <c r="D59">
        <v>91506.98</v>
      </c>
      <c r="E59">
        <v>93934.07</v>
      </c>
      <c r="F59">
        <v>88591.57</v>
      </c>
      <c r="G59">
        <v>85236.76</v>
      </c>
      <c r="H59">
        <v>83104.899999999994</v>
      </c>
      <c r="I59">
        <v>76603.45</v>
      </c>
      <c r="J59">
        <v>92372.44</v>
      </c>
      <c r="K59">
        <v>110297.66</v>
      </c>
    </row>
    <row r="60" spans="1:11" x14ac:dyDescent="0.3">
      <c r="A60" s="2" t="s">
        <v>42</v>
      </c>
      <c r="B60">
        <v>3592.81</v>
      </c>
      <c r="C60">
        <v>1117.4000000000001</v>
      </c>
      <c r="D60">
        <v>1094.33</v>
      </c>
      <c r="E60">
        <v>902.07</v>
      </c>
      <c r="F60">
        <v>1581.99</v>
      </c>
      <c r="G60">
        <v>1695.92</v>
      </c>
      <c r="H60">
        <v>1705.53</v>
      </c>
      <c r="I60">
        <v>2651.95</v>
      </c>
      <c r="J60">
        <v>2447.2800000000002</v>
      </c>
      <c r="K60">
        <v>3902.54</v>
      </c>
    </row>
    <row r="61" spans="1:11" s="1" customFormat="1" x14ac:dyDescent="0.3">
      <c r="A61" s="1" t="s">
        <v>37</v>
      </c>
      <c r="B61">
        <v>72511.199999999997</v>
      </c>
      <c r="C61">
        <v>87772.42</v>
      </c>
      <c r="D61">
        <v>106049.91</v>
      </c>
      <c r="E61">
        <v>109528.56</v>
      </c>
      <c r="F61">
        <v>108946.76</v>
      </c>
      <c r="G61">
        <v>106880.38</v>
      </c>
      <c r="H61">
        <v>106338.8</v>
      </c>
      <c r="I61">
        <v>102693.84</v>
      </c>
      <c r="J61">
        <v>120383.78</v>
      </c>
      <c r="K61">
        <v>142183.73000000001</v>
      </c>
    </row>
    <row r="62" spans="1:11" x14ac:dyDescent="0.3">
      <c r="A62" s="2" t="s">
        <v>41</v>
      </c>
      <c r="B62">
        <v>1229.8699999999999</v>
      </c>
      <c r="C62">
        <v>1150.72</v>
      </c>
      <c r="D62">
        <v>1127.3</v>
      </c>
      <c r="E62">
        <v>1100.07</v>
      </c>
      <c r="F62">
        <v>1138.29</v>
      </c>
      <c r="G62">
        <v>508.81</v>
      </c>
      <c r="H62">
        <v>552.52</v>
      </c>
      <c r="I62">
        <v>519.35</v>
      </c>
      <c r="J62">
        <v>640.96</v>
      </c>
      <c r="K62">
        <v>1307.6300000000001</v>
      </c>
    </row>
    <row r="63" spans="1:11" x14ac:dyDescent="0.3">
      <c r="A63" s="2" t="s">
        <v>40</v>
      </c>
      <c r="B63">
        <v>27.89</v>
      </c>
      <c r="C63">
        <v>19.34</v>
      </c>
      <c r="D63">
        <v>38.65</v>
      </c>
      <c r="E63">
        <v>62.04</v>
      </c>
      <c r="F63">
        <v>23.84</v>
      </c>
      <c r="G63">
        <v>21.81</v>
      </c>
      <c r="H63">
        <v>4.8099999999999996</v>
      </c>
      <c r="I63">
        <v>35.619999999999997</v>
      </c>
      <c r="J63">
        <v>45</v>
      </c>
      <c r="K63">
        <v>61.87</v>
      </c>
    </row>
    <row r="64" spans="1:11" x14ac:dyDescent="0.3">
      <c r="A64" s="2" t="s">
        <v>39</v>
      </c>
      <c r="B64">
        <v>6011.53</v>
      </c>
      <c r="C64">
        <v>5301.49</v>
      </c>
      <c r="D64">
        <v>8640.81</v>
      </c>
      <c r="E64">
        <v>5979.27</v>
      </c>
      <c r="F64">
        <v>8872.1299999999992</v>
      </c>
      <c r="G64">
        <v>11916.94</v>
      </c>
      <c r="H64">
        <v>14366.2</v>
      </c>
      <c r="I64">
        <v>12384.89</v>
      </c>
      <c r="J64">
        <v>11875.97</v>
      </c>
      <c r="K64">
        <v>10563.81</v>
      </c>
    </row>
    <row r="65" spans="1:11" x14ac:dyDescent="0.3">
      <c r="A65" s="2" t="s">
        <v>38</v>
      </c>
      <c r="B65">
        <v>65241.91</v>
      </c>
      <c r="C65">
        <v>81300.87</v>
      </c>
      <c r="D65">
        <v>96243.15</v>
      </c>
      <c r="E65">
        <v>102387.18</v>
      </c>
      <c r="F65">
        <v>98912.5</v>
      </c>
      <c r="G65">
        <v>94432.82</v>
      </c>
      <c r="H65">
        <v>91415.27</v>
      </c>
      <c r="I65">
        <v>89753.98</v>
      </c>
      <c r="J65">
        <v>107821.85</v>
      </c>
      <c r="K65">
        <v>130250.42</v>
      </c>
    </row>
    <row r="66" spans="1:11" s="1" customFormat="1" x14ac:dyDescent="0.3">
      <c r="A66" s="1" t="s">
        <v>37</v>
      </c>
      <c r="B66">
        <v>72511.199999999997</v>
      </c>
      <c r="C66">
        <v>87772.42</v>
      </c>
      <c r="D66">
        <v>106049.91</v>
      </c>
      <c r="E66">
        <v>109528.56</v>
      </c>
      <c r="F66">
        <v>108946.76</v>
      </c>
      <c r="G66">
        <v>106880.38</v>
      </c>
      <c r="H66">
        <v>106338.8</v>
      </c>
      <c r="I66">
        <v>102693.84</v>
      </c>
      <c r="J66">
        <v>120383.78</v>
      </c>
      <c r="K66">
        <v>142183.73000000001</v>
      </c>
    </row>
    <row r="67" spans="1:11" s="2" customFormat="1" x14ac:dyDescent="0.3">
      <c r="A67" s="2" t="s">
        <v>71</v>
      </c>
      <c r="B67">
        <v>78.849999999999994</v>
      </c>
      <c r="C67">
        <v>126.44</v>
      </c>
      <c r="D67">
        <v>106.37</v>
      </c>
      <c r="E67">
        <v>64.739999999999995</v>
      </c>
      <c r="F67">
        <v>47.31</v>
      </c>
      <c r="G67">
        <v>15.92</v>
      </c>
      <c r="H67">
        <v>5.88</v>
      </c>
      <c r="I67">
        <v>247.28</v>
      </c>
      <c r="J67">
        <v>116.95</v>
      </c>
      <c r="K67">
        <v>102.47</v>
      </c>
    </row>
    <row r="68" spans="1:11" x14ac:dyDescent="0.3">
      <c r="A68" s="2" t="s">
        <v>34</v>
      </c>
    </row>
    <row r="69" spans="1:11" x14ac:dyDescent="0.3">
      <c r="A69" s="15" t="s">
        <v>70</v>
      </c>
      <c r="B69">
        <v>594.38</v>
      </c>
      <c r="C69">
        <v>1108.53</v>
      </c>
      <c r="D69">
        <v>1874.15</v>
      </c>
      <c r="E69">
        <v>7804.4</v>
      </c>
      <c r="F69">
        <v>8426.9699999999993</v>
      </c>
      <c r="G69">
        <v>7970.42</v>
      </c>
      <c r="H69">
        <v>12748.91</v>
      </c>
      <c r="I69">
        <v>4676.0200000000004</v>
      </c>
      <c r="J69">
        <v>10832.92</v>
      </c>
      <c r="K69">
        <v>7959.04</v>
      </c>
    </row>
    <row r="70" spans="1:11" x14ac:dyDescent="0.3">
      <c r="A70" s="15" t="s">
        <v>69</v>
      </c>
      <c r="B70">
        <v>1755721861</v>
      </c>
      <c r="C70">
        <v>1995676960</v>
      </c>
      <c r="D70">
        <v>1998812360</v>
      </c>
      <c r="E70">
        <v>2004833610</v>
      </c>
      <c r="F70">
        <v>2469445704</v>
      </c>
      <c r="G70">
        <v>2474035488</v>
      </c>
      <c r="H70">
        <v>2479671117</v>
      </c>
      <c r="I70">
        <v>2488940310</v>
      </c>
      <c r="J70">
        <v>2494868101</v>
      </c>
      <c r="K70">
        <v>2504386016</v>
      </c>
    </row>
    <row r="71" spans="1:11" x14ac:dyDescent="0.3">
      <c r="A71" s="15" t="s">
        <v>68</v>
      </c>
    </row>
    <row r="72" spans="1:11" x14ac:dyDescent="0.3">
      <c r="A72" s="15" t="s">
        <v>67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2"/>
    </row>
    <row r="75" spans="1:11" x14ac:dyDescent="0.3">
      <c r="A75" s="2"/>
    </row>
    <row r="76" spans="1:11" x14ac:dyDescent="0.3">
      <c r="A76" s="2"/>
    </row>
    <row r="77" spans="1:11" x14ac:dyDescent="0.3">
      <c r="A77" s="2"/>
    </row>
    <row r="78" spans="1:11" x14ac:dyDescent="0.3">
      <c r="A78" s="2"/>
    </row>
    <row r="79" spans="1:11" x14ac:dyDescent="0.3">
      <c r="A79" s="2"/>
    </row>
    <row r="80" spans="1:11" x14ac:dyDescent="0.3">
      <c r="A80" s="1" t="s">
        <v>66</v>
      </c>
    </row>
    <row r="81" spans="1:11" s="23" customFormat="1" x14ac:dyDescent="0.3">
      <c r="A81" s="24" t="s">
        <v>65</v>
      </c>
      <c r="B81" s="7">
        <v>42825</v>
      </c>
      <c r="C81" s="7">
        <v>43190</v>
      </c>
      <c r="D81" s="7">
        <v>43555</v>
      </c>
      <c r="E81" s="7">
        <v>43921</v>
      </c>
      <c r="F81" s="7">
        <v>44286</v>
      </c>
      <c r="G81" s="7">
        <v>44651</v>
      </c>
      <c r="H81" s="7">
        <v>45016</v>
      </c>
      <c r="I81" s="7">
        <v>45382</v>
      </c>
      <c r="J81" s="7">
        <v>45747</v>
      </c>
      <c r="K81" s="7">
        <v>46112</v>
      </c>
    </row>
    <row r="82" spans="1:11" s="1" customFormat="1" x14ac:dyDescent="0.3">
      <c r="A82" s="2" t="s">
        <v>49</v>
      </c>
      <c r="B82">
        <v>-5779.41</v>
      </c>
      <c r="C82">
        <v>-15639.71</v>
      </c>
      <c r="D82">
        <v>-11643.45</v>
      </c>
      <c r="E82">
        <v>2161.7600000000002</v>
      </c>
      <c r="F82">
        <v>5464.3</v>
      </c>
      <c r="G82">
        <v>6078.06</v>
      </c>
      <c r="H82">
        <v>7490.47</v>
      </c>
      <c r="I82">
        <v>685.64</v>
      </c>
      <c r="J82">
        <v>-16587.47</v>
      </c>
      <c r="K82">
        <v>-14189.24</v>
      </c>
    </row>
    <row r="83" spans="1:11" s="2" customFormat="1" x14ac:dyDescent="0.3">
      <c r="A83" s="2" t="s">
        <v>48</v>
      </c>
      <c r="B83">
        <v>-2117.54</v>
      </c>
      <c r="C83">
        <v>1548.8</v>
      </c>
      <c r="D83">
        <v>-3587.48</v>
      </c>
      <c r="E83">
        <v>159.75</v>
      </c>
      <c r="F83">
        <v>-2024.52</v>
      </c>
      <c r="G83">
        <v>-5086.8599999999997</v>
      </c>
      <c r="H83">
        <v>-1633.96</v>
      </c>
      <c r="I83">
        <v>848.62</v>
      </c>
      <c r="J83">
        <v>471.83</v>
      </c>
      <c r="K83">
        <v>366.9</v>
      </c>
    </row>
    <row r="84" spans="1:11" s="2" customFormat="1" x14ac:dyDescent="0.3">
      <c r="A84" s="2" t="s">
        <v>47</v>
      </c>
      <c r="B84">
        <v>7952.1</v>
      </c>
      <c r="C84">
        <v>14677.8</v>
      </c>
      <c r="D84">
        <v>16008.19</v>
      </c>
      <c r="E84">
        <v>1450.53</v>
      </c>
      <c r="F84">
        <v>-2090.6799999999998</v>
      </c>
      <c r="G84">
        <v>-3023.01</v>
      </c>
      <c r="H84">
        <v>-1663.81</v>
      </c>
      <c r="I84">
        <v>-7049.59</v>
      </c>
      <c r="J84">
        <v>15418.51</v>
      </c>
      <c r="K84">
        <v>15415.06</v>
      </c>
    </row>
    <row r="85" spans="1:11" s="1" customFormat="1" x14ac:dyDescent="0.3">
      <c r="A85" s="2" t="s">
        <v>46</v>
      </c>
      <c r="B85">
        <v>55.15</v>
      </c>
      <c r="C85">
        <v>586.89</v>
      </c>
      <c r="D85">
        <v>777.26</v>
      </c>
      <c r="E85">
        <v>3772.04</v>
      </c>
      <c r="F85">
        <v>1349.1</v>
      </c>
      <c r="G85">
        <v>-2031.81</v>
      </c>
      <c r="H85">
        <v>4192.7</v>
      </c>
      <c r="I85">
        <v>-5515.33</v>
      </c>
      <c r="J85">
        <v>-697.13</v>
      </c>
      <c r="K85">
        <v>1592.72</v>
      </c>
    </row>
    <row r="86" spans="1:11" x14ac:dyDescent="0.3">
      <c r="A86" s="2"/>
    </row>
    <row r="87" spans="1:11" x14ac:dyDescent="0.3">
      <c r="A87" s="2"/>
    </row>
    <row r="88" spans="1:11" x14ac:dyDescent="0.3">
      <c r="A88" s="2"/>
    </row>
    <row r="89" spans="1:11" x14ac:dyDescent="0.3">
      <c r="A89" s="2"/>
    </row>
    <row r="90" spans="1:11" s="1" customFormat="1" x14ac:dyDescent="0.3">
      <c r="A90" s="1" t="s">
        <v>64</v>
      </c>
      <c r="B90">
        <v>115.01</v>
      </c>
      <c r="C90">
        <v>146.12</v>
      </c>
      <c r="D90">
        <v>141.88999999999999</v>
      </c>
      <c r="E90">
        <v>47.71</v>
      </c>
      <c r="F90">
        <v>95.85</v>
      </c>
      <c r="G90">
        <v>80.599999999999994</v>
      </c>
      <c r="H90">
        <v>82.05</v>
      </c>
      <c r="I90">
        <v>158.25</v>
      </c>
      <c r="J90">
        <v>153.22</v>
      </c>
      <c r="K90">
        <v>240.2</v>
      </c>
    </row>
    <row r="92" spans="1:11" s="1" customFormat="1" x14ac:dyDescent="0.3">
      <c r="A92" s="1" t="s">
        <v>63</v>
      </c>
    </row>
    <row r="93" spans="1:11" x14ac:dyDescent="0.3">
      <c r="A93" s="15" t="s">
        <v>62</v>
      </c>
      <c r="B93" s="22">
        <v>215.91</v>
      </c>
      <c r="C93" s="22">
        <v>245.41</v>
      </c>
      <c r="D93" s="22">
        <v>245.8</v>
      </c>
      <c r="E93" s="22">
        <v>246.54</v>
      </c>
      <c r="F93" s="22">
        <v>246.94</v>
      </c>
      <c r="G93" s="22">
        <v>247.4</v>
      </c>
      <c r="H93" s="22">
        <v>247.97</v>
      </c>
      <c r="I93" s="22">
        <v>248.89</v>
      </c>
      <c r="J93" s="22">
        <v>249.49</v>
      </c>
      <c r="K93" s="22">
        <v>250.44</v>
      </c>
    </row>
  </sheetData>
  <mergeCells count="2">
    <mergeCell ref="E1:K1"/>
    <mergeCell ref="E2:K2"/>
  </mergeCells>
  <conditionalFormatting sqref="E1:K1">
    <cfRule type="cellIs" dxfId="1" priority="1" operator="notEqual">
      <formula>""</formula>
    </cfRule>
  </conditionalFormatting>
  <hyperlinks>
    <hyperlink ref="E1:K1" r:id="rId1" display="https://www.screener.in/excel/" xr:uid="{32943FAF-43D6-42C5-9B58-E1B72B0A5B8B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D61F-E352-4861-8C79-100710045A7F}">
  <sheetPr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5" customFormat="1" x14ac:dyDescent="0.3">
      <c r="A1" s="5" t="str">
        <f>'Data Sheet (3)'!B1</f>
        <v>MUTHOOT FINANCE LTD</v>
      </c>
      <c r="H1" t="str">
        <f>UPDATE</f>
        <v/>
      </c>
      <c r="J1" s="12"/>
      <c r="K1" s="12"/>
      <c r="M1" s="5" t="s">
        <v>29</v>
      </c>
    </row>
    <row r="3" spans="1:14" s="5" customFormat="1" x14ac:dyDescent="0.3">
      <c r="A3" s="8" t="s">
        <v>28</v>
      </c>
      <c r="B3" s="7">
        <f>'Data Sheet (3)'!B16</f>
        <v>42825</v>
      </c>
      <c r="C3" s="7">
        <f>'Data Sheet (3)'!C16</f>
        <v>43190</v>
      </c>
      <c r="D3" s="7">
        <f>'Data Sheet (3)'!D16</f>
        <v>43555</v>
      </c>
      <c r="E3" s="7">
        <f>'Data Sheet (3)'!E16</f>
        <v>43921</v>
      </c>
      <c r="F3" s="7">
        <f>'Data Sheet (3)'!F16</f>
        <v>44286</v>
      </c>
      <c r="G3" s="7">
        <f>'Data Sheet (3)'!G16</f>
        <v>44651</v>
      </c>
      <c r="H3" s="7">
        <f>'Data Sheet (3)'!H16</f>
        <v>45016</v>
      </c>
      <c r="I3" s="7">
        <f>'Data Sheet (3)'!I16</f>
        <v>45382</v>
      </c>
      <c r="J3" s="7">
        <f>'Data Sheet (3)'!J16</f>
        <v>45747</v>
      </c>
      <c r="K3" s="7">
        <f>'Data Sheet (3)'!K16</f>
        <v>46112</v>
      </c>
      <c r="L3" s="6" t="s">
        <v>27</v>
      </c>
      <c r="M3" s="6" t="s">
        <v>26</v>
      </c>
      <c r="N3" s="6" t="s">
        <v>25</v>
      </c>
    </row>
    <row r="4" spans="1:14" s="5" customFormat="1" x14ac:dyDescent="0.3">
      <c r="A4" s="5" t="s">
        <v>24</v>
      </c>
      <c r="B4" s="1">
        <f>'Data Sheet (3)'!B17</f>
        <v>5934.98</v>
      </c>
      <c r="C4" s="1">
        <f>'Data Sheet (3)'!C17</f>
        <v>6714.17</v>
      </c>
      <c r="D4" s="1">
        <f>'Data Sheet (3)'!D17</f>
        <v>7594.43</v>
      </c>
      <c r="E4" s="1">
        <f>'Data Sheet (3)'!E17</f>
        <v>9683.98</v>
      </c>
      <c r="F4" s="1">
        <f>'Data Sheet (3)'!F17</f>
        <v>11534.56</v>
      </c>
      <c r="G4" s="1">
        <f>'Data Sheet (3)'!G17</f>
        <v>12185.61</v>
      </c>
      <c r="H4" s="1">
        <f>'Data Sheet (3)'!H17</f>
        <v>11897.66</v>
      </c>
      <c r="I4" s="1">
        <f>'Data Sheet (3)'!I17</f>
        <v>15061.66</v>
      </c>
      <c r="J4" s="1">
        <f>'Data Sheet (3)'!J17</f>
        <v>20214.169999999998</v>
      </c>
      <c r="K4" s="1">
        <f>'Data Sheet (3)'!K17</f>
        <v>31209.23</v>
      </c>
      <c r="L4" s="1">
        <f>SUM('Quarters (3)'!H4:K4)</f>
        <v>33430.699999999997</v>
      </c>
      <c r="M4" s="1">
        <f>$K4+M23*K4</f>
        <v>48184.814770673249</v>
      </c>
      <c r="N4" s="1">
        <f>$K4+N23*L4</f>
        <v>37979.954985533885</v>
      </c>
    </row>
    <row r="5" spans="1:14" x14ac:dyDescent="0.3">
      <c r="A5" t="s">
        <v>23</v>
      </c>
      <c r="B5" s="2">
        <f>SUM('Data Sheet (3)'!B18,'Data Sheet (3)'!B20:B24, -1*'Data Sheet (3)'!B19)</f>
        <v>1553.68</v>
      </c>
      <c r="C5" s="2">
        <f>SUM('Data Sheet (3)'!C18,'Data Sheet (3)'!C20:C24, -1*'Data Sheet (3)'!C19)</f>
        <v>1655.8300000000002</v>
      </c>
      <c r="D5" s="2">
        <f>SUM('Data Sheet (3)'!D18,'Data Sheet (3)'!D20:D24, -1*'Data Sheet (3)'!D19)</f>
        <v>1746.53</v>
      </c>
      <c r="E5" s="2">
        <f>SUM('Data Sheet (3)'!E18,'Data Sheet (3)'!E20:E24, -1*'Data Sheet (3)'!E19)</f>
        <v>2206.54</v>
      </c>
      <c r="F5" s="2">
        <f>SUM('Data Sheet (3)'!F18,'Data Sheet (3)'!F20:F24, -1*'Data Sheet (3)'!F19)</f>
        <v>2258.92</v>
      </c>
      <c r="G5" s="2">
        <f>SUM('Data Sheet (3)'!G18,'Data Sheet (3)'!G20:G24, -1*'Data Sheet (3)'!G19)</f>
        <v>2489.7400000000002</v>
      </c>
      <c r="H5" s="2">
        <f>SUM('Data Sheet (3)'!H18,'Data Sheet (3)'!H20:H24, -1*'Data Sheet (3)'!H19)</f>
        <v>2747.1000000000004</v>
      </c>
      <c r="I5" s="2">
        <f>SUM('Data Sheet (3)'!I18,'Data Sheet (3)'!I20:I24, -1*'Data Sheet (3)'!I19)</f>
        <v>3622.4599999999996</v>
      </c>
      <c r="J5" s="2">
        <f>SUM('Data Sheet (3)'!J18,'Data Sheet (3)'!J20:J24, -1*'Data Sheet (3)'!J19)</f>
        <v>5421.8099999999995</v>
      </c>
      <c r="K5" s="2">
        <f>SUM('Data Sheet (3)'!K18,'Data Sheet (3)'!K20:K24, -1*'Data Sheet (3)'!K19)</f>
        <v>5766.9800000000005</v>
      </c>
      <c r="L5" s="2">
        <f>SUM('Quarters (3)'!H5:K5)</f>
        <v>5841.12</v>
      </c>
      <c r="M5" s="2">
        <f>M4-M6</f>
        <v>8419.0066392051231</v>
      </c>
      <c r="N5" s="2">
        <f>N4-N6</f>
        <v>8477.2391644665295</v>
      </c>
    </row>
    <row r="6" spans="1:14" s="5" customFormat="1" x14ac:dyDescent="0.3">
      <c r="A6" s="5" t="s">
        <v>22</v>
      </c>
      <c r="B6" s="1">
        <f>B4-B5</f>
        <v>4381.2999999999993</v>
      </c>
      <c r="C6" s="1">
        <f>C4-C5</f>
        <v>5058.34</v>
      </c>
      <c r="D6" s="1">
        <f>D4-D5</f>
        <v>5847.9000000000005</v>
      </c>
      <c r="E6" s="1">
        <f>E4-E5</f>
        <v>7477.44</v>
      </c>
      <c r="F6" s="1">
        <f>F4-F5</f>
        <v>9275.64</v>
      </c>
      <c r="G6" s="1">
        <f>G4-G5</f>
        <v>9695.8700000000008</v>
      </c>
      <c r="H6" s="1">
        <f>H4-H5</f>
        <v>9150.56</v>
      </c>
      <c r="I6" s="1">
        <f>I4-I5</f>
        <v>11439.2</v>
      </c>
      <c r="J6" s="1">
        <f>J4-J5</f>
        <v>14792.359999999999</v>
      </c>
      <c r="K6" s="1">
        <f>K4-K5</f>
        <v>25442.25</v>
      </c>
      <c r="L6" s="1">
        <f>SUM('Quarters (3)'!H6:K6)</f>
        <v>27589.58</v>
      </c>
      <c r="M6" s="1">
        <f>M4*M24</f>
        <v>39765.808131468126</v>
      </c>
      <c r="N6" s="1">
        <f>N4*N24</f>
        <v>29502.715821067355</v>
      </c>
    </row>
    <row r="7" spans="1:14" x14ac:dyDescent="0.3">
      <c r="A7" t="s">
        <v>21</v>
      </c>
      <c r="B7" s="2">
        <f>'Data Sheet (3)'!B25</f>
        <v>3.19</v>
      </c>
      <c r="C7" s="2">
        <f>'Data Sheet (3)'!C25</f>
        <v>67.27</v>
      </c>
      <c r="D7" s="2">
        <f>'Data Sheet (3)'!D25</f>
        <v>6.2</v>
      </c>
      <c r="E7" s="2">
        <f>'Data Sheet (3)'!E25</f>
        <v>22.02</v>
      </c>
      <c r="F7" s="2">
        <f>'Data Sheet (3)'!F25</f>
        <v>32.1</v>
      </c>
      <c r="G7" s="2">
        <f>'Data Sheet (3)'!G25</f>
        <v>51.9</v>
      </c>
      <c r="H7" s="2">
        <f>'Data Sheet (3)'!H25</f>
        <v>75.22</v>
      </c>
      <c r="I7" s="2">
        <f>'Data Sheet (3)'!I25</f>
        <v>100.98</v>
      </c>
      <c r="J7" s="2">
        <f>'Data Sheet (3)'!J25</f>
        <v>50.83</v>
      </c>
      <c r="K7" s="2">
        <f>'Data Sheet (3)'!K25</f>
        <v>54.13</v>
      </c>
      <c r="L7" s="2">
        <f>SUM('Quarters (3)'!H7:K7)</f>
        <v>95.44</v>
      </c>
      <c r="M7" s="2">
        <v>0</v>
      </c>
      <c r="N7" s="2">
        <v>0</v>
      </c>
    </row>
    <row r="8" spans="1:14" x14ac:dyDescent="0.3">
      <c r="A8" t="s">
        <v>20</v>
      </c>
      <c r="B8" s="2">
        <f>'Data Sheet (3)'!B26</f>
        <v>51.92</v>
      </c>
      <c r="C8" s="2">
        <f>'Data Sheet (3)'!C26</f>
        <v>51.93</v>
      </c>
      <c r="D8" s="2">
        <f>'Data Sheet (3)'!D26</f>
        <v>51.69</v>
      </c>
      <c r="E8" s="2">
        <f>'Data Sheet (3)'!E26</f>
        <v>59.24</v>
      </c>
      <c r="F8" s="2">
        <f>'Data Sheet (3)'!F26</f>
        <v>67.36</v>
      </c>
      <c r="G8" s="2">
        <f>'Data Sheet (3)'!G26</f>
        <v>70</v>
      </c>
      <c r="H8" s="2">
        <f>'Data Sheet (3)'!H26</f>
        <v>78.16</v>
      </c>
      <c r="I8" s="2">
        <f>'Data Sheet (3)'!I26</f>
        <v>92.11</v>
      </c>
      <c r="J8" s="2">
        <f>'Data Sheet (3)'!J26</f>
        <v>115.99</v>
      </c>
      <c r="K8" s="2">
        <f>'Data Sheet (3)'!K26</f>
        <v>137.31</v>
      </c>
      <c r="L8" s="2">
        <f>SUM('Quarters (3)'!H8:K8)</f>
        <v>133.97</v>
      </c>
      <c r="M8" s="2">
        <f>+$L8</f>
        <v>133.97</v>
      </c>
      <c r="N8" s="2">
        <f>+$L8</f>
        <v>133.97</v>
      </c>
    </row>
    <row r="9" spans="1:14" x14ac:dyDescent="0.3">
      <c r="A9" t="s">
        <v>19</v>
      </c>
      <c r="B9" s="2">
        <f>'Data Sheet (3)'!B27</f>
        <v>2373.9899999999998</v>
      </c>
      <c r="C9" s="2">
        <f>'Data Sheet (3)'!C27</f>
        <v>2131.61</v>
      </c>
      <c r="D9" s="2">
        <f>'Data Sheet (3)'!D27</f>
        <v>2542.88</v>
      </c>
      <c r="E9" s="2">
        <f>'Data Sheet (3)'!E27</f>
        <v>3179.83</v>
      </c>
      <c r="F9" s="2">
        <f>'Data Sheet (3)'!F27</f>
        <v>4108.8999999999996</v>
      </c>
      <c r="G9" s="2">
        <f>'Data Sheet (3)'!G27</f>
        <v>4267.58</v>
      </c>
      <c r="H9" s="2">
        <f>'Data Sheet (3)'!H27</f>
        <v>4224.84</v>
      </c>
      <c r="I9" s="2">
        <f>'Data Sheet (3)'!I27</f>
        <v>5451.57</v>
      </c>
      <c r="J9" s="2">
        <f>'Data Sheet (3)'!J27</f>
        <v>7461.2</v>
      </c>
      <c r="K9" s="2">
        <f>'Data Sheet (3)'!K27</f>
        <v>11054.22</v>
      </c>
      <c r="L9" s="2">
        <f>SUM('Quarters (3)'!H9:K9)</f>
        <v>12103.109999999999</v>
      </c>
      <c r="M9" s="2">
        <f>+$L9</f>
        <v>12103.109999999999</v>
      </c>
      <c r="N9" s="2">
        <f>+$L9</f>
        <v>12103.109999999999</v>
      </c>
    </row>
    <row r="10" spans="1:14" x14ac:dyDescent="0.3">
      <c r="A10" t="s">
        <v>18</v>
      </c>
      <c r="B10" s="2">
        <f>'Data Sheet (3)'!B28</f>
        <v>1958.58</v>
      </c>
      <c r="C10" s="2">
        <f>'Data Sheet (3)'!C28</f>
        <v>2942.07</v>
      </c>
      <c r="D10" s="2">
        <f>'Data Sheet (3)'!D28</f>
        <v>3259.53</v>
      </c>
      <c r="E10" s="2">
        <f>'Data Sheet (3)'!E28</f>
        <v>4260.3900000000003</v>
      </c>
      <c r="F10" s="2">
        <f>'Data Sheet (3)'!F28</f>
        <v>5131.4799999999996</v>
      </c>
      <c r="G10" s="2">
        <f>'Data Sheet (3)'!G28</f>
        <v>5410.19</v>
      </c>
      <c r="H10" s="2">
        <f>'Data Sheet (3)'!H28</f>
        <v>4922.78</v>
      </c>
      <c r="I10" s="2">
        <f>'Data Sheet (3)'!I28</f>
        <v>5996.5</v>
      </c>
      <c r="J10" s="2">
        <f>'Data Sheet (3)'!J28</f>
        <v>7266</v>
      </c>
      <c r="K10" s="2">
        <f>'Data Sheet (3)'!K28</f>
        <v>14304.85</v>
      </c>
      <c r="L10" s="2">
        <f>SUM('Quarters (3)'!H10:K10)</f>
        <v>15447.939999999999</v>
      </c>
      <c r="M10" s="2">
        <f>M6+M7-SUM(M8:M9)</f>
        <v>27528.728131468128</v>
      </c>
      <c r="N10" s="2">
        <f>N6+N7-SUM(N8:N9)</f>
        <v>17265.635821067357</v>
      </c>
    </row>
    <row r="11" spans="1:14" x14ac:dyDescent="0.3">
      <c r="A11" t="s">
        <v>17</v>
      </c>
      <c r="B11" s="2">
        <f>'Data Sheet (3)'!B29</f>
        <v>751.33</v>
      </c>
      <c r="C11" s="2">
        <f>'Data Sheet (3)'!C29</f>
        <v>1098.33</v>
      </c>
      <c r="D11" s="2">
        <f>'Data Sheet (3)'!D29</f>
        <v>1156.57</v>
      </c>
      <c r="E11" s="2">
        <f>'Data Sheet (3)'!E29</f>
        <v>1091.71</v>
      </c>
      <c r="F11" s="2">
        <f>'Data Sheet (3)'!F29</f>
        <v>1312.61</v>
      </c>
      <c r="G11" s="2">
        <f>'Data Sheet (3)'!G29</f>
        <v>1378.87</v>
      </c>
      <c r="H11" s="2">
        <f>'Data Sheet (3)'!H29</f>
        <v>1253.02</v>
      </c>
      <c r="I11" s="2">
        <f>'Data Sheet (3)'!I29</f>
        <v>1528.91</v>
      </c>
      <c r="J11" s="2">
        <f>'Data Sheet (3)'!J29</f>
        <v>1913.65</v>
      </c>
      <c r="K11" s="2">
        <f>'Data Sheet (3)'!K29</f>
        <v>3697.98</v>
      </c>
      <c r="L11" s="2">
        <f>SUM('Quarters (3)'!H11:K11)</f>
        <v>3990.49</v>
      </c>
      <c r="M11" s="11">
        <f>IF($L10&gt;0,$L11/$L10,0)</f>
        <v>0.25831858487280507</v>
      </c>
      <c r="N11" s="11">
        <f>IF($L10&gt;0,$L11/$L10,0)</f>
        <v>0.25831858487280507</v>
      </c>
    </row>
    <row r="12" spans="1:14" s="5" customFormat="1" x14ac:dyDescent="0.3">
      <c r="A12" s="5" t="s">
        <v>16</v>
      </c>
      <c r="B12" s="1">
        <f>'Data Sheet (3)'!B30</f>
        <v>1199.79</v>
      </c>
      <c r="C12" s="1">
        <f>'Data Sheet (3)'!C30</f>
        <v>1829.83</v>
      </c>
      <c r="D12" s="1">
        <f>'Data Sheet (3)'!D30</f>
        <v>2078.0100000000002</v>
      </c>
      <c r="E12" s="1">
        <f>'Data Sheet (3)'!E30</f>
        <v>3138.25</v>
      </c>
      <c r="F12" s="1">
        <f>'Data Sheet (3)'!F30</f>
        <v>3804.4</v>
      </c>
      <c r="G12" s="1">
        <f>'Data Sheet (3)'!G30</f>
        <v>4016.62</v>
      </c>
      <c r="H12" s="1">
        <f>'Data Sheet (3)'!H30</f>
        <v>3612.3</v>
      </c>
      <c r="I12" s="1">
        <f>'Data Sheet (3)'!I30</f>
        <v>4324.29</v>
      </c>
      <c r="J12" s="1">
        <f>'Data Sheet (3)'!J30</f>
        <v>5332.9</v>
      </c>
      <c r="K12" s="1">
        <f>'Data Sheet (3)'!K30</f>
        <v>10590.34</v>
      </c>
      <c r="L12" s="1">
        <f>SUM('Quarters (3)'!H12:K12)</f>
        <v>11373.199999999999</v>
      </c>
      <c r="M12" s="1">
        <f>M10-M11*M10</f>
        <v>20417.546037199103</v>
      </c>
      <c r="N12" s="1">
        <f>N10-N11*N10</f>
        <v>12805.601208840026</v>
      </c>
    </row>
    <row r="13" spans="1:14" x14ac:dyDescent="0.3">
      <c r="A13" t="s">
        <v>15</v>
      </c>
      <c r="B13" s="2">
        <f>IF('Data Sheet (3)'!B93&gt;0,B12/'Data Sheet (3)'!B93,0)</f>
        <v>30.032290362953688</v>
      </c>
      <c r="C13" s="2">
        <f>IF('Data Sheet (3)'!C93&gt;0,C12/'Data Sheet (3)'!C93,0)</f>
        <v>45.745750000000001</v>
      </c>
      <c r="D13" s="2">
        <f>IF('Data Sheet (3)'!D93&gt;0,D12/'Data Sheet (3)'!D93,0)</f>
        <v>51.859495882206147</v>
      </c>
      <c r="E13" s="2">
        <f>IF('Data Sheet (3)'!E93&gt;0,E12/'Data Sheet (3)'!E93,0)</f>
        <v>78.260598503740653</v>
      </c>
      <c r="F13" s="2">
        <f>IF('Data Sheet (3)'!F93&gt;0,F12/'Data Sheet (3)'!F93,0)</f>
        <v>94.82552342971087</v>
      </c>
      <c r="G13" s="2">
        <f>IF('Data Sheet (3)'!G93&gt;0,G12/'Data Sheet (3)'!G93,0)</f>
        <v>100.09020682780961</v>
      </c>
      <c r="H13" s="2">
        <f>IF('Data Sheet (3)'!H93&gt;0,H12/'Data Sheet (3)'!H93,0)</f>
        <v>89.992526158445443</v>
      </c>
      <c r="I13" s="2">
        <f>IF('Data Sheet (3)'!I93&gt;0,I12/'Data Sheet (3)'!I93,0)</f>
        <v>107.70336239103362</v>
      </c>
      <c r="J13" s="2">
        <f>IF('Data Sheet (3)'!J93&gt;0,J12/'Data Sheet (3)'!J93,0)</f>
        <v>132.82440846824409</v>
      </c>
      <c r="K13" s="2">
        <f>IF('Data Sheet (3)'!K93&gt;0,K12/'Data Sheet (3)'!K93,0)</f>
        <v>263.76936488169366</v>
      </c>
      <c r="L13" s="2">
        <f>IF('Data Sheet (3)'!$B6&gt;0,'Profit &amp; Loss (3)'!L12/'Data Sheet (3)'!$B6,0)</f>
        <v>283.47404527615612</v>
      </c>
      <c r="M13" s="2">
        <f>IF('Data Sheet (3)'!$B6&gt;0,'Profit &amp; Loss (3)'!M12/'Data Sheet (3)'!$B6,0)</f>
        <v>508.90201260656465</v>
      </c>
      <c r="N13" s="2">
        <f>IF('Data Sheet (3)'!$B6&gt;0,'Profit &amp; Loss (3)'!N12/'Data Sheet (3)'!$B6,0)</f>
        <v>319.17627201342782</v>
      </c>
    </row>
    <row r="14" spans="1:14" x14ac:dyDescent="0.3">
      <c r="A14" t="s">
        <v>14</v>
      </c>
      <c r="B14" s="2">
        <f>IF(B15&gt;0,B15/B13,"")</f>
        <v>12.285110310971088</v>
      </c>
      <c r="C14" s="2">
        <f>IF(C15&gt;0,C15/C13,"")</f>
        <v>8.9068383401736764</v>
      </c>
      <c r="D14" s="2">
        <f>IF(D15&gt;0,D15/D13,"")</f>
        <v>11.870535752955952</v>
      </c>
      <c r="E14" s="2">
        <f>IF(E15&gt;0,E15/E13,"")</f>
        <v>7.8347215804986847</v>
      </c>
      <c r="F14" s="2">
        <f>IF(F15&gt;0,F15/F13,"")</f>
        <v>12.717040269162023</v>
      </c>
      <c r="G14" s="2">
        <f>IF(G15&gt;0,G15/G13,"")</f>
        <v>13.297504742793693</v>
      </c>
      <c r="H14" s="2">
        <f>IF(H15&gt;0,H15/H13,"")</f>
        <v>10.889237604850095</v>
      </c>
      <c r="I14" s="2">
        <f>IF(I15&gt;0,I15/I13,"")</f>
        <v>13.745624715271179</v>
      </c>
      <c r="J14" s="2">
        <f>IF(J15&gt;0,J15/J13,"")</f>
        <v>17.940226705919855</v>
      </c>
      <c r="K14" s="2">
        <f>IF(K15&gt;0,K15/K13,"")</f>
        <v>11.980542173339099</v>
      </c>
      <c r="L14" s="2">
        <f>IF(L13&gt;0,L15/L13,0)</f>
        <v>10.022434319276897</v>
      </c>
      <c r="M14" s="2">
        <f>M25</f>
        <v>13.422206978451758</v>
      </c>
      <c r="N14" s="2">
        <f>N25</f>
        <v>10.022434319276897</v>
      </c>
    </row>
    <row r="15" spans="1:14" s="5" customFormat="1" x14ac:dyDescent="0.3">
      <c r="A15" s="5" t="s">
        <v>13</v>
      </c>
      <c r="B15" s="1">
        <f>'Data Sheet (3)'!B90</f>
        <v>368.95</v>
      </c>
      <c r="C15" s="1">
        <f>'Data Sheet (3)'!C90</f>
        <v>407.45</v>
      </c>
      <c r="D15" s="1">
        <f>'Data Sheet (3)'!D90</f>
        <v>615.6</v>
      </c>
      <c r="E15" s="1">
        <f>'Data Sheet (3)'!E90</f>
        <v>613.15</v>
      </c>
      <c r="F15" s="1">
        <f>'Data Sheet (3)'!F90</f>
        <v>1205.9000000000001</v>
      </c>
      <c r="G15" s="1">
        <f>'Data Sheet (3)'!G90</f>
        <v>1330.95</v>
      </c>
      <c r="H15" s="1">
        <f>'Data Sheet (3)'!H90</f>
        <v>979.95</v>
      </c>
      <c r="I15" s="1">
        <f>'Data Sheet (3)'!I90</f>
        <v>1480.45</v>
      </c>
      <c r="J15" s="1">
        <f>'Data Sheet (3)'!J90</f>
        <v>2382.9</v>
      </c>
      <c r="K15" s="1">
        <f>'Data Sheet (3)'!K90</f>
        <v>3160.1</v>
      </c>
      <c r="L15" s="1">
        <f>'Data Sheet (3)'!B8</f>
        <v>2841.1</v>
      </c>
      <c r="M15" s="10">
        <f>M13*M14</f>
        <v>6830.5881449559765</v>
      </c>
      <c r="N15" s="9">
        <f>N13*N14</f>
        <v>3198.9232225262372</v>
      </c>
    </row>
    <row r="17" spans="1:14" s="5" customFormat="1" x14ac:dyDescent="0.3">
      <c r="A17" s="5" t="s">
        <v>12</v>
      </c>
    </row>
    <row r="18" spans="1:14" x14ac:dyDescent="0.3">
      <c r="A18" t="s">
        <v>11</v>
      </c>
      <c r="B18" s="4">
        <f>IF('Data Sheet (3)'!B30&gt;0, 'Data Sheet (3)'!B31/'Data Sheet (3)'!B30, 0)</f>
        <v>0.19977662757649256</v>
      </c>
      <c r="C18" s="4">
        <f>IF('Data Sheet (3)'!C30&gt;0, 'Data Sheet (3)'!C31/'Data Sheet (3)'!C30, 0)</f>
        <v>0.21862140198816285</v>
      </c>
      <c r="D18" s="4">
        <f>IF('Data Sheet (3)'!D30&gt;0, 'Data Sheet (3)'!D31/'Data Sheet (3)'!D30, 0)</f>
        <v>0.23137039764004985</v>
      </c>
      <c r="E18" s="4">
        <f>IF('Data Sheet (3)'!E30&gt;0, 'Data Sheet (3)'!E31/'Data Sheet (3)'!E30, 0)</f>
        <v>0.19168644945431368</v>
      </c>
      <c r="F18" s="4">
        <f>IF('Data Sheet (3)'!F30&gt;0, 'Data Sheet (3)'!F31/'Data Sheet (3)'!F30, 0)</f>
        <v>0.21091367889811796</v>
      </c>
      <c r="G18" s="4">
        <f>IF('Data Sheet (3)'!G30&gt;0, 'Data Sheet (3)'!G31/'Data Sheet (3)'!G30, 0)</f>
        <v>0.199844645497956</v>
      </c>
      <c r="H18" s="4">
        <f>IF('Data Sheet (3)'!H30&gt;0, 'Data Sheet (3)'!H31/'Data Sheet (3)'!H30, 0)</f>
        <v>0.24449519696592198</v>
      </c>
      <c r="I18" s="4">
        <f>IF('Data Sheet (3)'!I30&gt;0, 'Data Sheet (3)'!I31/'Data Sheet (3)'!I30, 0)</f>
        <v>0.22281114356345202</v>
      </c>
      <c r="J18" s="4">
        <f>IF('Data Sheet (3)'!J30&gt;0, 'Data Sheet (3)'!J31/'Data Sheet (3)'!J30, 0)</f>
        <v>0.1957284029327383</v>
      </c>
      <c r="K18" s="4">
        <f>IF('Data Sheet (3)'!K30&gt;0, 'Data Sheet (3)'!K31/'Data Sheet (3)'!K30, 0)</f>
        <v>0.11372722688789974</v>
      </c>
    </row>
    <row r="19" spans="1:14" x14ac:dyDescent="0.3">
      <c r="A19" t="s">
        <v>1</v>
      </c>
      <c r="B19" s="4">
        <f>IF(B6&gt;0,B6/B4,0)</f>
        <v>0.73821647250706823</v>
      </c>
      <c r="C19" s="4">
        <f>IF(C6&gt;0,C6/C4,0)</f>
        <v>0.75338277106477791</v>
      </c>
      <c r="D19" s="4">
        <f>IF(D6&gt;0,D6/D4,0)</f>
        <v>0.7700248734928099</v>
      </c>
      <c r="E19" s="4">
        <f>IF(E6&gt;0,E6/E4,0)</f>
        <v>0.77214533693791187</v>
      </c>
      <c r="F19" s="4">
        <f>IF(F6&gt;0,F6/F4,0)</f>
        <v>0.80416071354260588</v>
      </c>
      <c r="G19" s="4">
        <f>IF(G6&gt;0,G6/G4,0)</f>
        <v>0.79568195601205027</v>
      </c>
      <c r="H19" s="4">
        <f>IF(H6&gt;0,H6/H4,0)</f>
        <v>0.76910585779052343</v>
      </c>
      <c r="I19" s="4">
        <f>IF(I6&gt;0,I6/I4,0)</f>
        <v>0.75949131769008205</v>
      </c>
      <c r="J19" s="4">
        <f>IF(J6&gt;0,J6/J4,0)</f>
        <v>0.73178171549957283</v>
      </c>
      <c r="K19" s="4">
        <f>IF(K6&gt;0,K6/K4,0)</f>
        <v>0.815215562831893</v>
      </c>
      <c r="L19" s="4">
        <f>IF(L6&gt;0,L6/L4,0)</f>
        <v>0.82527676656486415</v>
      </c>
    </row>
    <row r="20" spans="1:14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4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4" s="5" customFormat="1" x14ac:dyDescent="0.3">
      <c r="A22" s="8"/>
      <c r="B22" s="7"/>
      <c r="C22" s="7"/>
      <c r="D22" s="7"/>
      <c r="E22" s="7"/>
      <c r="F22" s="7"/>
      <c r="G22" s="7" t="s">
        <v>10</v>
      </c>
      <c r="H22" s="7" t="s">
        <v>9</v>
      </c>
      <c r="I22" s="7" t="s">
        <v>8</v>
      </c>
      <c r="J22" s="7" t="s">
        <v>7</v>
      </c>
      <c r="K22" s="7" t="s">
        <v>6</v>
      </c>
      <c r="L22" s="6" t="s">
        <v>5</v>
      </c>
      <c r="M22" s="6" t="s">
        <v>4</v>
      </c>
      <c r="N22" s="6" t="s">
        <v>3</v>
      </c>
    </row>
    <row r="23" spans="1:14" s="5" customFormat="1" x14ac:dyDescent="0.3">
      <c r="A23"/>
      <c r="B23"/>
      <c r="C23"/>
      <c r="D23"/>
      <c r="E23"/>
      <c r="F23"/>
      <c r="G23" t="s">
        <v>2</v>
      </c>
      <c r="H23" s="4">
        <f>IF(B4=0,"",POWER($K4/B4,1/9)-1)</f>
        <v>0.20253015897166038</v>
      </c>
      <c r="I23" s="4">
        <f>IF(D4=0,"",POWER($K4/D4,1/7)-1)</f>
        <v>0.22372541974280091</v>
      </c>
      <c r="J23" s="4">
        <f>IF(F4=0,"",POWER($K4/F4,1/5)-1)</f>
        <v>0.2202713202360338</v>
      </c>
      <c r="K23" s="4">
        <f>IF(H4=0,"",POWER($K4/H4, 1/3)-1)</f>
        <v>0.37913622703232241</v>
      </c>
      <c r="L23" s="4">
        <f>IF(ISERROR(MAX(IF(J4=0,"",(K4-J4)/J4),IF(K4=0,"",(L4-K4)/K4))),"",MAX(IF(J4=0,"",(K4-J4)/J4),IF(K4=0,"",(L4-K4)/K4)))</f>
        <v>0.54392834333539308</v>
      </c>
      <c r="M23" s="3">
        <f>MAX(K23:L23)</f>
        <v>0.54392834333539308</v>
      </c>
      <c r="N23" s="3">
        <f>MIN(H23:L23)</f>
        <v>0.20253015897166038</v>
      </c>
    </row>
    <row r="24" spans="1:14" x14ac:dyDescent="0.3">
      <c r="G24" t="s">
        <v>1</v>
      </c>
      <c r="H24" s="4">
        <f>IF(SUM(B4:$K$4)=0,"",SUMPRODUCT(B19:$K$19,B4:$K$4)/SUM(B4:$K$4))</f>
        <v>0.77679701917247113</v>
      </c>
      <c r="I24" s="4">
        <f>IF(SUM(E4:$K$4)=0,"",SUMPRODUCT(E19:$K$19,E4:$K$4)/SUM(E4:$K$4))</f>
        <v>0.78071172401553057</v>
      </c>
      <c r="J24" s="4">
        <f>IF(SUM(G4:$K$4)=0,"",SUMPRODUCT(G19:$K$19,G4:$K$4)/SUM(G4:$K$4))</f>
        <v>0.77864127559821394</v>
      </c>
      <c r="K24" s="4">
        <f>IF(SUM(I4:$K$4)=0, "", SUMPRODUCT(I19:$K$19,I4:$K$4)/SUM(I4:$K$4))</f>
        <v>0.77722438695249729</v>
      </c>
      <c r="L24" s="4">
        <f>L19</f>
        <v>0.82527676656486415</v>
      </c>
      <c r="M24" s="3">
        <f>MAX(K24:L24)</f>
        <v>0.82527676656486415</v>
      </c>
      <c r="N24" s="3">
        <f>MIN(H24:L24)</f>
        <v>0.77679701917247113</v>
      </c>
    </row>
    <row r="25" spans="1:14" x14ac:dyDescent="0.3">
      <c r="G25" t="s">
        <v>0</v>
      </c>
      <c r="H25" s="2">
        <f>IF(ISERROR(AVERAGEIF(B14:$L14,"&gt;0")),"",AVERAGEIF(B14:$L14,"&gt;0"))</f>
        <v>11.953619683201111</v>
      </c>
      <c r="I25" s="2">
        <f>IF(ISERROR(AVERAGEIF(E14:$L14,"&gt;0")),"",AVERAGEIF(E14:$L14,"&gt;0"))</f>
        <v>12.303416513888941</v>
      </c>
      <c r="J25" s="2">
        <f>IF(ISERROR(AVERAGEIF(G14:$L14,"&gt;0")),"",AVERAGEIF(G14:$L14,"&gt;0"))</f>
        <v>12.979261710241802</v>
      </c>
      <c r="K25" s="2">
        <f>IF(ISERROR(AVERAGEIF(I14:$L14,"&gt;0")),"",AVERAGEIF(I14:$L14,"&gt;0"))</f>
        <v>13.422206978451758</v>
      </c>
      <c r="L25" s="2">
        <f>L14</f>
        <v>10.022434319276897</v>
      </c>
      <c r="M25" s="1">
        <f>MAX(K25:L25)</f>
        <v>13.422206978451758</v>
      </c>
      <c r="N25" s="1">
        <f>MIN(H25:L25)</f>
        <v>10.022434319276897</v>
      </c>
    </row>
  </sheetData>
  <hyperlinks>
    <hyperlink ref="M1" r:id="rId1" xr:uid="{AB042790-58A1-482D-9266-FB66F84F25FA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245F-0F72-4B4D-B811-08A7747D08B8}">
  <sheetPr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5" customFormat="1" x14ac:dyDescent="0.3">
      <c r="A1" s="5" t="str">
        <f>'Profit &amp; Loss (3)'!A1</f>
        <v>MUTHOOT FINANCE LTD</v>
      </c>
      <c r="E1" t="str">
        <f>UPDATE</f>
        <v/>
      </c>
      <c r="J1" s="5" t="s">
        <v>29</v>
      </c>
    </row>
    <row r="3" spans="1:11" s="5" customFormat="1" x14ac:dyDescent="0.3">
      <c r="A3" s="8" t="s">
        <v>28</v>
      </c>
      <c r="B3" s="7">
        <f>'Data Sheet (3)'!B41</f>
        <v>45382</v>
      </c>
      <c r="C3" s="7">
        <f>'Data Sheet (3)'!C41</f>
        <v>45473</v>
      </c>
      <c r="D3" s="7">
        <f>'Data Sheet (3)'!D41</f>
        <v>45565</v>
      </c>
      <c r="E3" s="7">
        <f>'Data Sheet (3)'!E41</f>
        <v>45657</v>
      </c>
      <c r="F3" s="7">
        <f>'Data Sheet (3)'!F41</f>
        <v>45747</v>
      </c>
      <c r="G3" s="7">
        <f>'Data Sheet (3)'!G41</f>
        <v>45838</v>
      </c>
      <c r="H3" s="7">
        <f>'Data Sheet (3)'!H41</f>
        <v>45930</v>
      </c>
      <c r="I3" s="7">
        <f>'Data Sheet (3)'!I41</f>
        <v>46022</v>
      </c>
      <c r="J3" s="7">
        <f>'Data Sheet (3)'!J41</f>
        <v>46112</v>
      </c>
      <c r="K3" s="7">
        <f>'Data Sheet (3)'!K41</f>
        <v>46203</v>
      </c>
    </row>
    <row r="4" spans="1:11" s="5" customFormat="1" x14ac:dyDescent="0.3">
      <c r="A4" s="5" t="s">
        <v>24</v>
      </c>
      <c r="B4" s="1">
        <f>'Data Sheet (3)'!B42</f>
        <v>4163.8</v>
      </c>
      <c r="C4" s="1">
        <f>'Data Sheet (3)'!C42</f>
        <v>4473.8599999999997</v>
      </c>
      <c r="D4" s="1">
        <f>'Data Sheet (3)'!D42</f>
        <v>4928.82</v>
      </c>
      <c r="E4" s="1">
        <f>'Data Sheet (3)'!E42</f>
        <v>5189.7299999999996</v>
      </c>
      <c r="F4" s="1">
        <f>'Data Sheet (3)'!F42</f>
        <v>5621.75</v>
      </c>
      <c r="G4" s="1">
        <f>'Data Sheet (3)'!G42</f>
        <v>6450.13</v>
      </c>
      <c r="H4" s="1">
        <f>'Data Sheet (3)'!H42</f>
        <v>7282.79</v>
      </c>
      <c r="I4" s="1">
        <f>'Data Sheet (3)'!I42</f>
        <v>8187.6</v>
      </c>
      <c r="J4" s="1">
        <f>'Data Sheet (3)'!J42</f>
        <v>9288.7099999999991</v>
      </c>
      <c r="K4" s="1">
        <f>'Data Sheet (3)'!K42</f>
        <v>8671.6</v>
      </c>
    </row>
    <row r="5" spans="1:11" x14ac:dyDescent="0.3">
      <c r="A5" t="s">
        <v>23</v>
      </c>
      <c r="B5" s="2">
        <f>'Data Sheet (3)'!B43</f>
        <v>1121</v>
      </c>
      <c r="C5" s="2">
        <f>'Data Sheet (3)'!C43</f>
        <v>1226.42</v>
      </c>
      <c r="D5" s="2">
        <f>'Data Sheet (3)'!D43</f>
        <v>1323.72</v>
      </c>
      <c r="E5" s="2">
        <f>'Data Sheet (3)'!E43</f>
        <v>1405.23</v>
      </c>
      <c r="F5" s="2">
        <f>'Data Sheet (3)'!F43</f>
        <v>1549.23</v>
      </c>
      <c r="G5" s="2">
        <f>'Data Sheet (3)'!G43</f>
        <v>1421.99</v>
      </c>
      <c r="H5" s="2">
        <f>'Data Sheet (3)'!H43</f>
        <v>1479.56</v>
      </c>
      <c r="I5" s="2">
        <f>'Data Sheet (3)'!I43</f>
        <v>1425.72</v>
      </c>
      <c r="J5" s="2">
        <f>'Data Sheet (3)'!J43</f>
        <v>1527.95</v>
      </c>
      <c r="K5" s="2">
        <f>'Data Sheet (3)'!K43</f>
        <v>1407.89</v>
      </c>
    </row>
    <row r="6" spans="1:11" s="5" customFormat="1" x14ac:dyDescent="0.3">
      <c r="A6" s="5" t="s">
        <v>22</v>
      </c>
      <c r="B6" s="1">
        <f>'Data Sheet (3)'!B50</f>
        <v>3042.8</v>
      </c>
      <c r="C6" s="1">
        <f>'Data Sheet (3)'!C50</f>
        <v>3247.44</v>
      </c>
      <c r="D6" s="1">
        <f>'Data Sheet (3)'!D50</f>
        <v>3605.1</v>
      </c>
      <c r="E6" s="1">
        <f>'Data Sheet (3)'!E50</f>
        <v>3784.5</v>
      </c>
      <c r="F6" s="1">
        <f>'Data Sheet (3)'!F50</f>
        <v>4072.52</v>
      </c>
      <c r="G6" s="1">
        <f>'Data Sheet (3)'!G50</f>
        <v>5028.1400000000003</v>
      </c>
      <c r="H6" s="1">
        <f>'Data Sheet (3)'!H50</f>
        <v>5803.23</v>
      </c>
      <c r="I6" s="1">
        <f>'Data Sheet (3)'!I50</f>
        <v>6761.88</v>
      </c>
      <c r="J6" s="1">
        <f>'Data Sheet (3)'!J50</f>
        <v>7760.76</v>
      </c>
      <c r="K6" s="1">
        <f>'Data Sheet (3)'!K50</f>
        <v>7263.71</v>
      </c>
    </row>
    <row r="7" spans="1:11" x14ac:dyDescent="0.3">
      <c r="A7" t="s">
        <v>21</v>
      </c>
      <c r="B7" s="2">
        <f>'Data Sheet (3)'!B44</f>
        <v>15.62</v>
      </c>
      <c r="C7" s="2">
        <f>'Data Sheet (3)'!C44</f>
        <v>18.61</v>
      </c>
      <c r="D7" s="2">
        <f>'Data Sheet (3)'!D44</f>
        <v>28.57</v>
      </c>
      <c r="E7" s="2">
        <f>'Data Sheet (3)'!E44</f>
        <v>31.95</v>
      </c>
      <c r="F7" s="2">
        <f>'Data Sheet (3)'!F44</f>
        <v>5.62</v>
      </c>
      <c r="G7" s="2">
        <f>'Data Sheet (3)'!G44</f>
        <v>15.55</v>
      </c>
      <c r="H7" s="2">
        <f>'Data Sheet (3)'!H44</f>
        <v>49.8</v>
      </c>
      <c r="I7" s="2">
        <f>'Data Sheet (3)'!I44</f>
        <v>19.78</v>
      </c>
      <c r="J7" s="2">
        <f>'Data Sheet (3)'!J44</f>
        <v>2.65</v>
      </c>
      <c r="K7" s="2">
        <f>'Data Sheet (3)'!K44</f>
        <v>23.21</v>
      </c>
    </row>
    <row r="8" spans="1:11" x14ac:dyDescent="0.3">
      <c r="A8" t="s">
        <v>20</v>
      </c>
      <c r="B8" s="2">
        <f>'Data Sheet (3)'!B45</f>
        <v>26.61</v>
      </c>
      <c r="C8" s="2">
        <f>'Data Sheet (3)'!C45</f>
        <v>25.84</v>
      </c>
      <c r="D8" s="2">
        <f>'Data Sheet (3)'!D45</f>
        <v>24.86</v>
      </c>
      <c r="E8" s="2">
        <f>'Data Sheet (3)'!E45</f>
        <v>30.58</v>
      </c>
      <c r="F8" s="2">
        <f>'Data Sheet (3)'!F45</f>
        <v>34.71</v>
      </c>
      <c r="G8" s="2">
        <f>'Data Sheet (3)'!G45</f>
        <v>34.75</v>
      </c>
      <c r="H8" s="2">
        <f>'Data Sheet (3)'!H45</f>
        <v>37.61</v>
      </c>
      <c r="I8" s="2">
        <f>'Data Sheet (3)'!I45</f>
        <v>40.479999999999997</v>
      </c>
      <c r="J8" s="2">
        <f>'Data Sheet (3)'!J45</f>
        <v>24.48</v>
      </c>
      <c r="K8" s="2">
        <f>'Data Sheet (3)'!K45</f>
        <v>31.4</v>
      </c>
    </row>
    <row r="9" spans="1:11" x14ac:dyDescent="0.3">
      <c r="A9" t="s">
        <v>19</v>
      </c>
      <c r="B9" s="2">
        <f>'Data Sheet (3)'!B46</f>
        <v>1446.64</v>
      </c>
      <c r="C9" s="2">
        <f>'Data Sheet (3)'!C46</f>
        <v>1594.51</v>
      </c>
      <c r="D9" s="2">
        <f>'Data Sheet (3)'!D46</f>
        <v>1807.03</v>
      </c>
      <c r="E9" s="2">
        <f>'Data Sheet (3)'!E46</f>
        <v>1899.55</v>
      </c>
      <c r="F9" s="2">
        <f>'Data Sheet (3)'!F46</f>
        <v>2111.2199999999998</v>
      </c>
      <c r="G9" s="2">
        <f>'Data Sheet (3)'!G46</f>
        <v>2354.91</v>
      </c>
      <c r="H9" s="2">
        <f>'Data Sheet (3)'!H46</f>
        <v>2571.2199999999998</v>
      </c>
      <c r="I9" s="2">
        <f>'Data Sheet (3)'!I46</f>
        <v>2918.72</v>
      </c>
      <c r="J9" s="2">
        <f>'Data Sheet (3)'!J46</f>
        <v>3154.78</v>
      </c>
      <c r="K9" s="2">
        <f>'Data Sheet (3)'!K46</f>
        <v>3458.39</v>
      </c>
    </row>
    <row r="10" spans="1:11" x14ac:dyDescent="0.3">
      <c r="A10" t="s">
        <v>18</v>
      </c>
      <c r="B10" s="2">
        <f>'Data Sheet (3)'!B47</f>
        <v>1585.17</v>
      </c>
      <c r="C10" s="2">
        <f>'Data Sheet (3)'!C47</f>
        <v>1645.7</v>
      </c>
      <c r="D10" s="2">
        <f>'Data Sheet (3)'!D47</f>
        <v>1801.78</v>
      </c>
      <c r="E10" s="2">
        <f>'Data Sheet (3)'!E47</f>
        <v>1886.32</v>
      </c>
      <c r="F10" s="2">
        <f>'Data Sheet (3)'!F47</f>
        <v>1932.21</v>
      </c>
      <c r="G10" s="2">
        <f>'Data Sheet (3)'!G47</f>
        <v>2654.03</v>
      </c>
      <c r="H10" s="2">
        <f>'Data Sheet (3)'!H47</f>
        <v>3244.2</v>
      </c>
      <c r="I10" s="2">
        <f>'Data Sheet (3)'!I47</f>
        <v>3822.46</v>
      </c>
      <c r="J10" s="2">
        <f>'Data Sheet (3)'!J47</f>
        <v>4584.1499999999996</v>
      </c>
      <c r="K10" s="2">
        <f>'Data Sheet (3)'!K47</f>
        <v>3797.13</v>
      </c>
    </row>
    <row r="11" spans="1:11" x14ac:dyDescent="0.3">
      <c r="A11" t="s">
        <v>17</v>
      </c>
      <c r="B11" s="2">
        <f>'Data Sheet (3)'!B48</f>
        <v>402.9</v>
      </c>
      <c r="C11" s="2">
        <f>'Data Sheet (3)'!C48</f>
        <v>450.04</v>
      </c>
      <c r="D11" s="2">
        <f>'Data Sheet (3)'!D48</f>
        <v>480.55</v>
      </c>
      <c r="E11" s="2">
        <f>'Data Sheet (3)'!E48</f>
        <v>494.78</v>
      </c>
      <c r="F11" s="2">
        <f>'Data Sheet (3)'!F48</f>
        <v>488.27</v>
      </c>
      <c r="G11" s="2">
        <f>'Data Sheet (3)'!G48</f>
        <v>679.78</v>
      </c>
      <c r="H11" s="2">
        <f>'Data Sheet (3)'!H48</f>
        <v>832.54</v>
      </c>
      <c r="I11" s="2">
        <f>'Data Sheet (3)'!I48</f>
        <v>998.98</v>
      </c>
      <c r="J11" s="2">
        <f>'Data Sheet (3)'!J48</f>
        <v>1186.68</v>
      </c>
      <c r="K11" s="2">
        <f>'Data Sheet (3)'!K48</f>
        <v>972.29</v>
      </c>
    </row>
    <row r="12" spans="1:11" s="5" customFormat="1" x14ac:dyDescent="0.3">
      <c r="A12" s="5" t="s">
        <v>16</v>
      </c>
      <c r="B12" s="1">
        <f>'Data Sheet (3)'!B49</f>
        <v>1139.07</v>
      </c>
      <c r="C12" s="1">
        <f>'Data Sheet (3)'!C49</f>
        <v>1164.03</v>
      </c>
      <c r="D12" s="1">
        <f>'Data Sheet (3)'!D49</f>
        <v>1271.5999999999999</v>
      </c>
      <c r="E12" s="1">
        <f>'Data Sheet (3)'!E49</f>
        <v>1389.18</v>
      </c>
      <c r="F12" s="1">
        <f>'Data Sheet (3)'!F49</f>
        <v>1477.68</v>
      </c>
      <c r="G12" s="1">
        <f>'Data Sheet (3)'!G49</f>
        <v>2016.2</v>
      </c>
      <c r="H12" s="1">
        <f>'Data Sheet (3)'!H49</f>
        <v>2420.63</v>
      </c>
      <c r="I12" s="1">
        <f>'Data Sheet (3)'!I49</f>
        <v>2804.03</v>
      </c>
      <c r="J12" s="1">
        <f>'Data Sheet (3)'!J49</f>
        <v>3349.47</v>
      </c>
      <c r="K12" s="1">
        <f>'Data Sheet (3)'!K49</f>
        <v>2799.07</v>
      </c>
    </row>
    <row r="14" spans="1:11" s="5" customFormat="1" x14ac:dyDescent="0.3">
      <c r="A14" s="5" t="s">
        <v>1</v>
      </c>
      <c r="B14" s="14">
        <f>IF(B4&gt;0,B6/B4,"")</f>
        <v>0.73077477304385419</v>
      </c>
      <c r="C14" s="14">
        <f>IF(C4&gt;0,C6/C4,"")</f>
        <v>0.72586983052665932</v>
      </c>
      <c r="D14" s="14">
        <f>IF(D4&gt;0,D6/D4,"")</f>
        <v>0.73143267556940605</v>
      </c>
      <c r="E14" s="14">
        <f>IF(E4&gt;0,E6/E4,"")</f>
        <v>0.72922868819765196</v>
      </c>
      <c r="F14" s="14">
        <f>IF(F4&gt;0,F6/F4,"")</f>
        <v>0.72442211055276384</v>
      </c>
      <c r="G14" s="14">
        <f>IF(G4&gt;0,G6/G4,"")</f>
        <v>0.77954087747068668</v>
      </c>
      <c r="H14" s="14">
        <f>IF(H4&gt;0,H6/H4,"")</f>
        <v>0.79684159504805163</v>
      </c>
      <c r="I14" s="14">
        <f>IF(I4&gt;0,I6/I4,"")</f>
        <v>0.82586838634031945</v>
      </c>
      <c r="J14" s="14">
        <f>IF(J4&gt;0,J6/J4,"")</f>
        <v>0.83550460720595232</v>
      </c>
      <c r="K14" s="14">
        <f>IF(K4&gt;0,K6/K4,"")</f>
        <v>0.83764357212048524</v>
      </c>
    </row>
    <row r="22" s="13" customFormat="1" x14ac:dyDescent="0.3"/>
  </sheetData>
  <hyperlinks>
    <hyperlink ref="J1" r:id="rId1" xr:uid="{2A1B04B6-0DF9-454F-A35A-FBFCCF0CC804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3C99-E46D-4BB0-8DAD-75841C119D25}">
  <sheetPr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5" customFormat="1" x14ac:dyDescent="0.3">
      <c r="A1" s="5" t="str">
        <f>'Profit &amp; Loss (3)'!A1</f>
        <v>MUTHOOT FINANCE LTD</v>
      </c>
      <c r="E1" t="str">
        <f>UPDATE</f>
        <v/>
      </c>
      <c r="G1"/>
      <c r="J1" s="5" t="s">
        <v>29</v>
      </c>
    </row>
    <row r="2" spans="1:11" x14ac:dyDescent="0.3">
      <c r="G2" s="5"/>
      <c r="H2" s="5"/>
    </row>
    <row r="3" spans="1:11" x14ac:dyDescent="0.3">
      <c r="A3" s="8" t="s">
        <v>28</v>
      </c>
      <c r="B3" s="7">
        <f>'Data Sheet (3)'!B56</f>
        <v>42825</v>
      </c>
      <c r="C3" s="7">
        <f>'Data Sheet (3)'!C56</f>
        <v>43190</v>
      </c>
      <c r="D3" s="7">
        <f>'Data Sheet (3)'!D56</f>
        <v>43555</v>
      </c>
      <c r="E3" s="7">
        <f>'Data Sheet (3)'!E56</f>
        <v>43921</v>
      </c>
      <c r="F3" s="7">
        <f>'Data Sheet (3)'!F56</f>
        <v>44286</v>
      </c>
      <c r="G3" s="7">
        <f>'Data Sheet (3)'!G56</f>
        <v>44651</v>
      </c>
      <c r="H3" s="7">
        <f>'Data Sheet (3)'!H56</f>
        <v>45016</v>
      </c>
      <c r="I3" s="7">
        <f>'Data Sheet (3)'!I56</f>
        <v>45382</v>
      </c>
      <c r="J3" s="7">
        <f>'Data Sheet (3)'!J56</f>
        <v>45747</v>
      </c>
      <c r="K3" s="7">
        <f>'Data Sheet (3)'!K56</f>
        <v>46112</v>
      </c>
    </row>
    <row r="4" spans="1:11" x14ac:dyDescent="0.3">
      <c r="A4" t="s">
        <v>45</v>
      </c>
      <c r="B4" s="16">
        <f>'Data Sheet (3)'!B57</f>
        <v>399.48</v>
      </c>
      <c r="C4" s="16">
        <f>'Data Sheet (3)'!C57</f>
        <v>400.04</v>
      </c>
      <c r="D4" s="16">
        <f>'Data Sheet (3)'!D57</f>
        <v>400.66</v>
      </c>
      <c r="E4" s="16">
        <f>'Data Sheet (3)'!E57</f>
        <v>401.04</v>
      </c>
      <c r="F4" s="16">
        <f>'Data Sheet (3)'!F57</f>
        <v>401.2</v>
      </c>
      <c r="G4" s="16">
        <f>'Data Sheet (3)'!G57</f>
        <v>401.35</v>
      </c>
      <c r="H4" s="16">
        <f>'Data Sheet (3)'!H57</f>
        <v>401.45</v>
      </c>
      <c r="I4" s="16">
        <f>'Data Sheet (3)'!I57</f>
        <v>401.46</v>
      </c>
      <c r="J4" s="16">
        <f>'Data Sheet (3)'!J57</f>
        <v>401.46</v>
      </c>
      <c r="K4" s="16">
        <f>'Data Sheet (3)'!K57</f>
        <v>401.47</v>
      </c>
    </row>
    <row r="5" spans="1:11" x14ac:dyDescent="0.3">
      <c r="A5" t="s">
        <v>44</v>
      </c>
      <c r="B5" s="16">
        <f>'Data Sheet (3)'!B58</f>
        <v>6138.56</v>
      </c>
      <c r="C5" s="16">
        <f>'Data Sheet (3)'!C58</f>
        <v>7456.53</v>
      </c>
      <c r="D5" s="16">
        <f>'Data Sheet (3)'!D58</f>
        <v>9530.5400000000009</v>
      </c>
      <c r="E5" s="16">
        <f>'Data Sheet (3)'!E58</f>
        <v>11428.17</v>
      </c>
      <c r="F5" s="16">
        <f>'Data Sheet (3)'!F58</f>
        <v>15173.83</v>
      </c>
      <c r="G5" s="16">
        <f>'Data Sheet (3)'!G58</f>
        <v>18384.38</v>
      </c>
      <c r="H5" s="16">
        <f>'Data Sheet (3)'!H58</f>
        <v>21264.3</v>
      </c>
      <c r="I5" s="16">
        <f>'Data Sheet (3)'!I58</f>
        <v>24705.75</v>
      </c>
      <c r="J5" s="16">
        <f>'Data Sheet (3)'!J58</f>
        <v>28965.16</v>
      </c>
      <c r="K5" s="16">
        <f>'Data Sheet (3)'!K58</f>
        <v>38728.85</v>
      </c>
    </row>
    <row r="6" spans="1:11" x14ac:dyDescent="0.3">
      <c r="A6" t="s">
        <v>43</v>
      </c>
      <c r="B6" s="16">
        <f>'Data Sheet (3)'!B59</f>
        <v>22176.68</v>
      </c>
      <c r="C6" s="16">
        <f>'Data Sheet (3)'!C59</f>
        <v>23890.7</v>
      </c>
      <c r="D6" s="16">
        <f>'Data Sheet (3)'!D59</f>
        <v>30127.51</v>
      </c>
      <c r="E6" s="16">
        <f>'Data Sheet (3)'!E59</f>
        <v>40951.97</v>
      </c>
      <c r="F6" s="16">
        <f>'Data Sheet (3)'!F59</f>
        <v>50414.37</v>
      </c>
      <c r="G6" s="16">
        <f>'Data Sheet (3)'!G59</f>
        <v>54568.6</v>
      </c>
      <c r="H6" s="16">
        <f>'Data Sheet (3)'!H59</f>
        <v>55803.73</v>
      </c>
      <c r="I6" s="16">
        <f>'Data Sheet (3)'!I59</f>
        <v>68125.03</v>
      </c>
      <c r="J6" s="16">
        <f>'Data Sheet (3)'!J59</f>
        <v>99382.86</v>
      </c>
      <c r="K6" s="16">
        <f>'Data Sheet (3)'!K59</f>
        <v>151806.49</v>
      </c>
    </row>
    <row r="7" spans="1:11" x14ac:dyDescent="0.3">
      <c r="A7" t="s">
        <v>42</v>
      </c>
      <c r="B7" s="16">
        <f>'Data Sheet (3)'!B60</f>
        <v>3469.43</v>
      </c>
      <c r="C7" s="16">
        <f>'Data Sheet (3)'!C60</f>
        <v>1924.51</v>
      </c>
      <c r="D7" s="16">
        <f>'Data Sheet (3)'!D60</f>
        <v>1675.05</v>
      </c>
      <c r="E7" s="16">
        <f>'Data Sheet (3)'!E60</f>
        <v>2085.41</v>
      </c>
      <c r="F7" s="16">
        <f>'Data Sheet (3)'!F60</f>
        <v>2637.82</v>
      </c>
      <c r="G7" s="16">
        <f>'Data Sheet (3)'!G60</f>
        <v>2945.5</v>
      </c>
      <c r="H7" s="16">
        <f>'Data Sheet (3)'!H60</f>
        <v>2664.15</v>
      </c>
      <c r="I7" s="16">
        <f>'Data Sheet (3)'!I60</f>
        <v>3220.94</v>
      </c>
      <c r="J7" s="16">
        <f>'Data Sheet (3)'!J60</f>
        <v>4085.18</v>
      </c>
      <c r="K7" s="16">
        <f>'Data Sheet (3)'!K60</f>
        <v>4783.7</v>
      </c>
    </row>
    <row r="8" spans="1:11" s="5" customFormat="1" x14ac:dyDescent="0.3">
      <c r="A8" s="5" t="s">
        <v>37</v>
      </c>
      <c r="B8" s="17">
        <f>'Data Sheet (3)'!B61</f>
        <v>32184.15</v>
      </c>
      <c r="C8" s="17">
        <f>'Data Sheet (3)'!C61</f>
        <v>33671.78</v>
      </c>
      <c r="D8" s="17">
        <f>'Data Sheet (3)'!D61</f>
        <v>41733.760000000002</v>
      </c>
      <c r="E8" s="17">
        <f>'Data Sheet (3)'!E61</f>
        <v>54866.59</v>
      </c>
      <c r="F8" s="17">
        <f>'Data Sheet (3)'!F61</f>
        <v>68627.22</v>
      </c>
      <c r="G8" s="17">
        <f>'Data Sheet (3)'!G61</f>
        <v>76299.83</v>
      </c>
      <c r="H8" s="17">
        <f>'Data Sheet (3)'!H61</f>
        <v>80133.63</v>
      </c>
      <c r="I8" s="17">
        <f>'Data Sheet (3)'!I61</f>
        <v>96453.18</v>
      </c>
      <c r="J8" s="17">
        <f>'Data Sheet (3)'!J61</f>
        <v>132834.66</v>
      </c>
      <c r="K8" s="17">
        <f>'Data Sheet (3)'!K61</f>
        <v>195720.51</v>
      </c>
    </row>
    <row r="9" spans="1:11" s="5" customFormat="1" x14ac:dyDescent="0.3"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x14ac:dyDescent="0.3">
      <c r="A10" t="s">
        <v>41</v>
      </c>
      <c r="B10" s="16">
        <f>'Data Sheet (3)'!B62</f>
        <v>257.38</v>
      </c>
      <c r="C10" s="16">
        <f>'Data Sheet (3)'!C62</f>
        <v>251.44</v>
      </c>
      <c r="D10" s="16">
        <f>'Data Sheet (3)'!D62</f>
        <v>259.26</v>
      </c>
      <c r="E10" s="16">
        <f>'Data Sheet (3)'!E62</f>
        <v>313.62</v>
      </c>
      <c r="F10" s="16">
        <f>'Data Sheet (3)'!F62</f>
        <v>327.08</v>
      </c>
      <c r="G10" s="16">
        <f>'Data Sheet (3)'!G62</f>
        <v>341.68</v>
      </c>
      <c r="H10" s="16">
        <f>'Data Sheet (3)'!H62</f>
        <v>385.54</v>
      </c>
      <c r="I10" s="16">
        <f>'Data Sheet (3)'!I62</f>
        <v>481.57</v>
      </c>
      <c r="J10" s="16">
        <f>'Data Sheet (3)'!J62</f>
        <v>681.87</v>
      </c>
      <c r="K10" s="16">
        <f>'Data Sheet (3)'!K62</f>
        <v>720.83</v>
      </c>
    </row>
    <row r="11" spans="1:11" x14ac:dyDescent="0.3">
      <c r="A11" t="s">
        <v>40</v>
      </c>
      <c r="B11" s="16">
        <f>'Data Sheet (3)'!B63</f>
        <v>9.98</v>
      </c>
      <c r="C11" s="16">
        <f>'Data Sheet (3)'!C63</f>
        <v>5.74</v>
      </c>
      <c r="D11" s="16">
        <f>'Data Sheet (3)'!D63</f>
        <v>22.83</v>
      </c>
      <c r="E11" s="16">
        <f>'Data Sheet (3)'!E63</f>
        <v>28.74</v>
      </c>
      <c r="F11" s="16">
        <f>'Data Sheet (3)'!F63</f>
        <v>38.53</v>
      </c>
      <c r="G11" s="16">
        <f>'Data Sheet (3)'!G63</f>
        <v>52.39</v>
      </c>
      <c r="H11" s="16">
        <f>'Data Sheet (3)'!H63</f>
        <v>67.47</v>
      </c>
      <c r="I11" s="16">
        <f>'Data Sheet (3)'!I63</f>
        <v>88.68</v>
      </c>
      <c r="J11" s="16">
        <f>'Data Sheet (3)'!J63</f>
        <v>12.83</v>
      </c>
      <c r="K11" s="16">
        <f>'Data Sheet (3)'!K63</f>
        <v>10.63</v>
      </c>
    </row>
    <row r="12" spans="1:11" x14ac:dyDescent="0.3">
      <c r="A12" t="s">
        <v>39</v>
      </c>
      <c r="B12" s="16">
        <f>'Data Sheet (3)'!B64</f>
        <v>96.53</v>
      </c>
      <c r="C12" s="16">
        <f>'Data Sheet (3)'!C64</f>
        <v>177.26</v>
      </c>
      <c r="D12" s="16">
        <f>'Data Sheet (3)'!D64</f>
        <v>211.13</v>
      </c>
      <c r="E12" s="16">
        <f>'Data Sheet (3)'!E64</f>
        <v>630.22</v>
      </c>
      <c r="F12" s="16">
        <f>'Data Sheet (3)'!F64</f>
        <v>808.51</v>
      </c>
      <c r="G12" s="16">
        <f>'Data Sheet (3)'!G64</f>
        <v>523.30999999999995</v>
      </c>
      <c r="H12" s="16">
        <f>'Data Sheet (3)'!H64</f>
        <v>545.71</v>
      </c>
      <c r="I12" s="16">
        <f>'Data Sheet (3)'!I64</f>
        <v>712.49</v>
      </c>
      <c r="J12" s="16">
        <f>'Data Sheet (3)'!J64</f>
        <v>2400.7199999999998</v>
      </c>
      <c r="K12" s="16">
        <f>'Data Sheet (3)'!K64</f>
        <v>550.20000000000005</v>
      </c>
    </row>
    <row r="13" spans="1:11" x14ac:dyDescent="0.3">
      <c r="A13" t="s">
        <v>38</v>
      </c>
      <c r="B13" s="16">
        <f>'Data Sheet (3)'!B65</f>
        <v>31820.26</v>
      </c>
      <c r="C13" s="16">
        <f>'Data Sheet (3)'!C65</f>
        <v>33237.339999999997</v>
      </c>
      <c r="D13" s="16">
        <f>'Data Sheet (3)'!D65</f>
        <v>41240.54</v>
      </c>
      <c r="E13" s="16">
        <f>'Data Sheet (3)'!E65</f>
        <v>53894.01</v>
      </c>
      <c r="F13" s="16">
        <f>'Data Sheet (3)'!F65</f>
        <v>67453.100000000006</v>
      </c>
      <c r="G13" s="16">
        <f>'Data Sheet (3)'!G65</f>
        <v>75382.45</v>
      </c>
      <c r="H13" s="16">
        <f>'Data Sheet (3)'!H65</f>
        <v>79134.91</v>
      </c>
      <c r="I13" s="16">
        <f>'Data Sheet (3)'!I65</f>
        <v>95170.44</v>
      </c>
      <c r="J13" s="16">
        <f>'Data Sheet (3)'!J65</f>
        <v>129739.24</v>
      </c>
      <c r="K13" s="16">
        <f>'Data Sheet (3)'!K65</f>
        <v>194438.85</v>
      </c>
    </row>
    <row r="14" spans="1:11" s="5" customFormat="1" x14ac:dyDescent="0.3">
      <c r="A14" s="5" t="s">
        <v>37</v>
      </c>
      <c r="B14" s="16">
        <f>'Data Sheet (3)'!B66</f>
        <v>32184.15</v>
      </c>
      <c r="C14" s="16">
        <f>'Data Sheet (3)'!C66</f>
        <v>33671.78</v>
      </c>
      <c r="D14" s="16">
        <f>'Data Sheet (3)'!D66</f>
        <v>41733.760000000002</v>
      </c>
      <c r="E14" s="16">
        <f>'Data Sheet (3)'!E66</f>
        <v>54866.59</v>
      </c>
      <c r="F14" s="16">
        <f>'Data Sheet (3)'!F66</f>
        <v>68627.22</v>
      </c>
      <c r="G14" s="16">
        <f>'Data Sheet (3)'!G66</f>
        <v>76299.83</v>
      </c>
      <c r="H14" s="16">
        <f>'Data Sheet (3)'!H66</f>
        <v>80133.63</v>
      </c>
      <c r="I14" s="16">
        <f>'Data Sheet (3)'!I66</f>
        <v>96453.18</v>
      </c>
      <c r="J14" s="16">
        <f>'Data Sheet (3)'!J66</f>
        <v>132834.66</v>
      </c>
      <c r="K14" s="16">
        <f>'Data Sheet (3)'!K66</f>
        <v>195720.51</v>
      </c>
    </row>
    <row r="15" spans="1:11" x14ac:dyDescent="0.3"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x14ac:dyDescent="0.3">
      <c r="A16" t="s">
        <v>36</v>
      </c>
      <c r="B16" s="15">
        <f>B13-B7</f>
        <v>28350.829999999998</v>
      </c>
      <c r="C16" s="15">
        <f>C13-C7</f>
        <v>31312.829999999998</v>
      </c>
      <c r="D16" s="15">
        <f>D13-D7</f>
        <v>39565.49</v>
      </c>
      <c r="E16" s="15">
        <f>E13-E7</f>
        <v>51808.600000000006</v>
      </c>
      <c r="F16" s="15">
        <f>F13-F7</f>
        <v>64815.280000000006</v>
      </c>
      <c r="G16" s="15">
        <f>G13-G7</f>
        <v>72436.95</v>
      </c>
      <c r="H16" s="15">
        <f>H13-H7</f>
        <v>76470.760000000009</v>
      </c>
      <c r="I16" s="15">
        <f>I13-I7</f>
        <v>91949.5</v>
      </c>
      <c r="J16" s="15">
        <f>J13-J7</f>
        <v>125654.06000000001</v>
      </c>
      <c r="K16" s="15">
        <f>K13-K7</f>
        <v>189655.15</v>
      </c>
    </row>
    <row r="17" spans="1:11" x14ac:dyDescent="0.3">
      <c r="A17" t="s">
        <v>35</v>
      </c>
      <c r="B17" s="15">
        <f>'Data Sheet (3)'!B67</f>
        <v>1276.93</v>
      </c>
      <c r="C17" s="15">
        <f>'Data Sheet (3)'!C67</f>
        <v>26.65</v>
      </c>
      <c r="D17" s="15">
        <f>'Data Sheet (3)'!D67</f>
        <v>21.68</v>
      </c>
      <c r="E17" s="15">
        <f>'Data Sheet (3)'!E67</f>
        <v>8.98</v>
      </c>
      <c r="F17" s="15">
        <f>'Data Sheet (3)'!F67</f>
        <v>9.8000000000000007</v>
      </c>
      <c r="G17" s="15">
        <f>'Data Sheet (3)'!G67</f>
        <v>7.01</v>
      </c>
      <c r="H17" s="15">
        <f>'Data Sheet (3)'!H67</f>
        <v>9.9</v>
      </c>
      <c r="I17" s="15">
        <f>'Data Sheet (3)'!I67</f>
        <v>17.84</v>
      </c>
      <c r="J17" s="15">
        <f>'Data Sheet (3)'!J67</f>
        <v>11.86</v>
      </c>
      <c r="K17" s="15">
        <f>'Data Sheet (3)'!K67</f>
        <v>11.6</v>
      </c>
    </row>
    <row r="18" spans="1:11" x14ac:dyDescent="0.3">
      <c r="A18" t="s">
        <v>34</v>
      </c>
      <c r="B18" s="15">
        <f>'Data Sheet (3)'!B68</f>
        <v>0</v>
      </c>
      <c r="C18" s="15">
        <f>'Data Sheet (3)'!C68</f>
        <v>0</v>
      </c>
      <c r="D18" s="15">
        <f>'Data Sheet (3)'!D68</f>
        <v>1.47</v>
      </c>
      <c r="E18" s="15">
        <f>'Data Sheet (3)'!E68</f>
        <v>0.67</v>
      </c>
      <c r="F18" s="15">
        <f>'Data Sheet (3)'!F68</f>
        <v>0.67</v>
      </c>
      <c r="G18" s="15">
        <f>'Data Sheet (3)'!G68</f>
        <v>0.67</v>
      </c>
      <c r="H18" s="15">
        <f>'Data Sheet (3)'!H68</f>
        <v>0.43</v>
      </c>
      <c r="I18" s="15">
        <f>'Data Sheet (3)'!I68</f>
        <v>0.43</v>
      </c>
      <c r="J18" s="15">
        <f>'Data Sheet (3)'!J68</f>
        <v>0.43</v>
      </c>
      <c r="K18" s="15">
        <f>'Data Sheet (3)'!K68</f>
        <v>1.1200000000000001</v>
      </c>
    </row>
    <row r="20" spans="1:11" x14ac:dyDescent="0.3">
      <c r="A20" t="s">
        <v>33</v>
      </c>
      <c r="B20" s="15">
        <f>IF('Profit &amp; Loss (3)'!B4&gt;0,'Balance Sheet (3)'!B17/('Profit &amp; Loss (3)'!B4/365),0)</f>
        <v>78.530921755422938</v>
      </c>
      <c r="C20" s="15">
        <f>IF('Profit &amp; Loss (3)'!C4&gt;0,'Balance Sheet (3)'!C17/('Profit &amp; Loss (3)'!C4/365),0)</f>
        <v>1.4487643297682364</v>
      </c>
      <c r="D20" s="15">
        <f>IF('Profit &amp; Loss (3)'!D4&gt;0,'Balance Sheet (3)'!D17/('Profit &amp; Loss (3)'!D4/365),0)</f>
        <v>1.0419741837109566</v>
      </c>
      <c r="E20" s="15">
        <f>IF('Profit &amp; Loss (3)'!E4&gt;0,'Balance Sheet (3)'!E17/('Profit &amp; Loss (3)'!E4/365),0)</f>
        <v>0.33846620914128284</v>
      </c>
      <c r="F20" s="15">
        <f>IF('Profit &amp; Loss (3)'!F4&gt;0,'Balance Sheet (3)'!F17/('Profit &amp; Loss (3)'!F4/365),0)</f>
        <v>0.31011152571056033</v>
      </c>
      <c r="G20" s="15">
        <f>IF('Profit &amp; Loss (3)'!G4&gt;0,'Balance Sheet (3)'!G17/('Profit &amp; Loss (3)'!G4/365),0)</f>
        <v>0.20997307479888161</v>
      </c>
      <c r="H20" s="15">
        <f>IF('Profit &amp; Loss (3)'!H4&gt;0,'Balance Sheet (3)'!H17/('Profit &amp; Loss (3)'!H4/365),0)</f>
        <v>0.3037151843303641</v>
      </c>
      <c r="I20" s="15">
        <f>IF('Profit &amp; Loss (3)'!I4&gt;0,'Balance Sheet (3)'!I17/('Profit &amp; Loss (3)'!I4/365),0)</f>
        <v>0.43232950418479765</v>
      </c>
      <c r="J20" s="15">
        <f>IF('Profit &amp; Loss (3)'!J4&gt;0,'Balance Sheet (3)'!J17/('Profit &amp; Loss (3)'!J4/365),0)</f>
        <v>0.21415175592171237</v>
      </c>
      <c r="K20" s="15">
        <f>IF('Profit &amp; Loss (3)'!K4&gt;0,'Balance Sheet (3)'!K17/('Profit &amp; Loss (3)'!K4/365),0)</f>
        <v>0.13566499397774312</v>
      </c>
    </row>
    <row r="21" spans="1:11" x14ac:dyDescent="0.3">
      <c r="A21" t="s">
        <v>32</v>
      </c>
      <c r="B21" s="15">
        <f>IF('Balance Sheet (3)'!B18&gt;0,'Profit &amp; Loss (3)'!B4/'Balance Sheet (3)'!B18,0)</f>
        <v>0</v>
      </c>
      <c r="C21" s="15">
        <f>IF('Balance Sheet (3)'!C18&gt;0,'Profit &amp; Loss (3)'!C4/'Balance Sheet (3)'!C18,0)</f>
        <v>0</v>
      </c>
      <c r="D21" s="15">
        <f>IF('Balance Sheet (3)'!D18&gt;0,'Profit &amp; Loss (3)'!D4/'Balance Sheet (3)'!D18,0)</f>
        <v>5166.2789115646265</v>
      </c>
      <c r="E21" s="15">
        <f>IF('Balance Sheet (3)'!E18&gt;0,'Profit &amp; Loss (3)'!E4/'Balance Sheet (3)'!E18,0)</f>
        <v>14453.701492537311</v>
      </c>
      <c r="F21" s="15">
        <f>IF('Balance Sheet (3)'!F18&gt;0,'Profit &amp; Loss (3)'!F4/'Balance Sheet (3)'!F18,0)</f>
        <v>17215.761194029848</v>
      </c>
      <c r="G21" s="15">
        <f>IF('Balance Sheet (3)'!G18&gt;0,'Profit &amp; Loss (3)'!G4/'Balance Sheet (3)'!G18,0)</f>
        <v>18187.4776119403</v>
      </c>
      <c r="H21" s="15">
        <f>IF('Balance Sheet (3)'!H18&gt;0,'Profit &amp; Loss (3)'!H4/'Balance Sheet (3)'!H18,0)</f>
        <v>27668.976744186046</v>
      </c>
      <c r="I21" s="15">
        <f>IF('Balance Sheet (3)'!I18&gt;0,'Profit &amp; Loss (3)'!I4/'Balance Sheet (3)'!I18,0)</f>
        <v>35027.116279069771</v>
      </c>
      <c r="J21" s="15">
        <f>IF('Balance Sheet (3)'!J18&gt;0,'Profit &amp; Loss (3)'!J4/'Balance Sheet (3)'!J18,0)</f>
        <v>47009.697674418603</v>
      </c>
      <c r="K21" s="15">
        <f>IF('Balance Sheet (3)'!K18&gt;0,'Profit &amp; Loss (3)'!K4/'Balance Sheet (3)'!K18,0)</f>
        <v>27865.383928571424</v>
      </c>
    </row>
    <row r="23" spans="1:11" s="5" customFormat="1" x14ac:dyDescent="0.3">
      <c r="A23" s="5" t="s">
        <v>31</v>
      </c>
      <c r="B23" s="14">
        <f>IF(SUM('Balance Sheet (3)'!B4:B5)&gt;0,'Profit &amp; Loss (3)'!B12/SUM('Balance Sheet (3)'!B4:B5),"")</f>
        <v>0.18350912505888611</v>
      </c>
      <c r="C23" s="14">
        <f>IF(SUM('Balance Sheet (3)'!C4:C5)&gt;0,'Profit &amp; Loss (3)'!C12/SUM('Balance Sheet (3)'!C4:C5),"")</f>
        <v>0.23290443539610797</v>
      </c>
      <c r="D23" s="14">
        <f>IF(SUM('Balance Sheet (3)'!D4:D5)&gt;0,'Profit &amp; Loss (3)'!D12/SUM('Balance Sheet (3)'!D4:D5),"")</f>
        <v>0.20924057515708072</v>
      </c>
      <c r="E23" s="14">
        <f>IF(SUM('Balance Sheet (3)'!E4:E5)&gt;0,'Profit &amp; Loss (3)'!E12/SUM('Balance Sheet (3)'!E4:E5),"")</f>
        <v>0.26529666816296266</v>
      </c>
      <c r="F23" s="14">
        <f>IF(SUM('Balance Sheet (3)'!F4:F5)&gt;0,'Profit &amp; Loss (3)'!F12/SUM('Balance Sheet (3)'!F4:F5),"")</f>
        <v>0.24426277188551163</v>
      </c>
      <c r="G23" s="14">
        <f>IF(SUM('Balance Sheet (3)'!G4:G5)&gt;0,'Profit &amp; Loss (3)'!G12/SUM('Balance Sheet (3)'!G4:G5),"")</f>
        <v>0.21381229262850046</v>
      </c>
      <c r="H23" s="14">
        <f>IF(SUM('Balance Sheet (3)'!H4:H5)&gt;0,'Profit &amp; Loss (3)'!H12/SUM('Balance Sheet (3)'!H4:H5),"")</f>
        <v>0.16672859236352308</v>
      </c>
      <c r="I23" s="14">
        <f>IF(SUM('Balance Sheet (3)'!I4:I5)&gt;0,'Profit &amp; Loss (3)'!I12/SUM('Balance Sheet (3)'!I4:I5),"")</f>
        <v>0.17223299601986841</v>
      </c>
      <c r="J23" s="14">
        <f>IF(SUM('Balance Sheet (3)'!J4:J5)&gt;0,'Profit &amp; Loss (3)'!J12/SUM('Balance Sheet (3)'!J4:J5),"")</f>
        <v>0.18159733738509912</v>
      </c>
      <c r="K23" s="14">
        <f>IF(SUM('Balance Sheet (3)'!K4:K5)&gt;0,'Profit &amp; Loss (3)'!K12/SUM('Balance Sheet (3)'!K4:K5),"")</f>
        <v>0.27064281610781615</v>
      </c>
    </row>
    <row r="24" spans="1:11" s="5" customFormat="1" x14ac:dyDescent="0.3">
      <c r="A24" s="5" t="s">
        <v>30</v>
      </c>
      <c r="B24" s="14"/>
      <c r="C24" s="14">
        <f>IF((B4+B5+B6+C4+C5+C6)&gt;0,('Profit &amp; Loss (3)'!C10+'Profit &amp; Loss (3)'!C9)*2/(B4+B5+B6+C4+C5+C6),"")</f>
        <v>0.16783040055413326</v>
      </c>
      <c r="D24" s="14">
        <f>IF((C4+C5+C6+D4+D5+D6)&gt;0,('Profit &amp; Loss (3)'!D10+'Profit &amp; Loss (3)'!D9)*2/(C4+C5+C6+D4+D5+D6),"")</f>
        <v>0.1616135592049576</v>
      </c>
      <c r="E24" s="14">
        <f>IF((D4+D5+D6+E4+E5+E6)&gt;0,('Profit &amp; Loss (3)'!E10+'Profit &amp; Loss (3)'!E9)*2/(D4+D5+D6+E4+E5+E6),"")</f>
        <v>0.16028067245663477</v>
      </c>
      <c r="F24" s="14">
        <f>IF((E4+E5+E6+F4+F5+F6)&gt;0,('Profit &amp; Loss (3)'!F10+'Profit &amp; Loss (3)'!F9)*2/(E4+E5+E6+F4+F5+F6),"")</f>
        <v>0.15560048624836217</v>
      </c>
      <c r="G24" s="14">
        <f>IF((F4+F5+F6+G4+G5+G6)&gt;0,('Profit &amp; Loss (3)'!G10+'Profit &amp; Loss (3)'!G9)*2/(F4+F5+F6+G4+G5+G6),"")</f>
        <v>0.13890499414648941</v>
      </c>
      <c r="H24" s="14">
        <f>IF((G4+G5+G6+H4+H5+H6)&gt;0,('Profit &amp; Loss (3)'!H10+'Profit &amp; Loss (3)'!H9)*2/(G4+G5+G6+H4+H5+H6),"")</f>
        <v>0.12130206762446856</v>
      </c>
      <c r="I24" s="14">
        <f>IF((H4+H5+H6+I4+I5+I6)&gt;0,('Profit &amp; Loss (3)'!I10+'Profit &amp; Loss (3)'!I9)*2/(H4+H5+H6+I4+I5+I6),"")</f>
        <v>0.13412952136627559</v>
      </c>
      <c r="J24" s="14">
        <f>IF((I4+I5+I6+J4+J5+J6)&gt;0,('Profit &amp; Loss (3)'!J10+'Profit &amp; Loss (3)'!J9)*2/(I4+I5+I6+J4+J5+J6),"")</f>
        <v>0.1326884033514111</v>
      </c>
      <c r="K24" s="14">
        <f>IF((J4+J5+J6+K4+K5+K6)&gt;0,('Profit &amp; Loss (3)'!K10+'Profit &amp; Loss (3)'!K9)*2/(J4+J5+J6+K4+K5+K6),"")</f>
        <v>0.15864971876022585</v>
      </c>
    </row>
  </sheetData>
  <hyperlinks>
    <hyperlink ref="J1" r:id="rId1" xr:uid="{CBDB93BD-D0F5-4128-AC08-AF172C9A94AE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D491-3D97-4848-8588-916192A0A295}">
  <sheetPr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5" customFormat="1" x14ac:dyDescent="0.3">
      <c r="A1" s="5" t="str">
        <f>'Balance Sheet (3)'!A1</f>
        <v>MUTHOOT FINANCE LTD</v>
      </c>
      <c r="E1" t="str">
        <f>UPDATE</f>
        <v/>
      </c>
      <c r="F1"/>
      <c r="J1" s="5" t="s">
        <v>29</v>
      </c>
    </row>
    <row r="3" spans="1:11" s="5" customFormat="1" x14ac:dyDescent="0.3">
      <c r="A3" s="8" t="s">
        <v>28</v>
      </c>
      <c r="B3" s="7">
        <f>'Data Sheet (3)'!B81</f>
        <v>42825</v>
      </c>
      <c r="C3" s="7">
        <f>'Data Sheet (3)'!C81</f>
        <v>43190</v>
      </c>
      <c r="D3" s="7">
        <f>'Data Sheet (3)'!D81</f>
        <v>43555</v>
      </c>
      <c r="E3" s="7">
        <f>'Data Sheet (3)'!E81</f>
        <v>43921</v>
      </c>
      <c r="F3" s="7">
        <f>'Data Sheet (3)'!F81</f>
        <v>44286</v>
      </c>
      <c r="G3" s="7">
        <f>'Data Sheet (3)'!G81</f>
        <v>44651</v>
      </c>
      <c r="H3" s="7">
        <f>'Data Sheet (3)'!H81</f>
        <v>45016</v>
      </c>
      <c r="I3" s="7">
        <f>'Data Sheet (3)'!I81</f>
        <v>45382</v>
      </c>
      <c r="J3" s="7">
        <f>'Data Sheet (3)'!J81</f>
        <v>45747</v>
      </c>
      <c r="K3" s="7">
        <f>'Data Sheet (3)'!K81</f>
        <v>46112</v>
      </c>
    </row>
    <row r="4" spans="1:11" s="5" customFormat="1" x14ac:dyDescent="0.3">
      <c r="A4" s="5" t="s">
        <v>49</v>
      </c>
      <c r="B4" s="1">
        <f>'Data Sheet (3)'!B82</f>
        <v>-2186.1999999999998</v>
      </c>
      <c r="C4" s="1">
        <f>'Data Sheet (3)'!C82</f>
        <v>-1432.15</v>
      </c>
      <c r="D4" s="1">
        <f>'Data Sheet (3)'!D82</f>
        <v>-4824.2</v>
      </c>
      <c r="E4" s="1">
        <f>'Data Sheet (3)'!E82</f>
        <v>-4970.1000000000004</v>
      </c>
      <c r="F4" s="1">
        <f>'Data Sheet (3)'!F82</f>
        <v>-7814.29</v>
      </c>
      <c r="G4" s="1">
        <f>'Data Sheet (3)'!G82</f>
        <v>-1596.45</v>
      </c>
      <c r="H4" s="1">
        <f>'Data Sheet (3)'!H82</f>
        <v>-2804.07</v>
      </c>
      <c r="I4" s="1">
        <f>'Data Sheet (3)'!I82</f>
        <v>-13605.49</v>
      </c>
      <c r="J4" s="1">
        <f>'Data Sheet (3)'!J82</f>
        <v>-26524.89</v>
      </c>
      <c r="K4" s="1">
        <f>'Data Sheet (3)'!K82</f>
        <v>-47392.65</v>
      </c>
    </row>
    <row r="5" spans="1:11" x14ac:dyDescent="0.3">
      <c r="A5" t="s">
        <v>48</v>
      </c>
      <c r="B5" s="2">
        <f>'Data Sheet (3)'!B83</f>
        <v>-176.65</v>
      </c>
      <c r="C5" s="2">
        <f>'Data Sheet (3)'!C83</f>
        <v>-125.59</v>
      </c>
      <c r="D5" s="2">
        <f>'Data Sheet (3)'!D83</f>
        <v>-162.36000000000001</v>
      </c>
      <c r="E5" s="2">
        <f>'Data Sheet (3)'!E83</f>
        <v>-384.71</v>
      </c>
      <c r="F5" s="2">
        <f>'Data Sheet (3)'!F83</f>
        <v>36.64</v>
      </c>
      <c r="G5" s="2">
        <f>'Data Sheet (3)'!G83</f>
        <v>410.5</v>
      </c>
      <c r="H5" s="2">
        <f>'Data Sheet (3)'!H83</f>
        <v>179.94</v>
      </c>
      <c r="I5" s="2">
        <f>'Data Sheet (3)'!I83</f>
        <v>47.67</v>
      </c>
      <c r="J5" s="2">
        <f>'Data Sheet (3)'!J83</f>
        <v>-1374.65</v>
      </c>
      <c r="K5" s="2">
        <f>'Data Sheet (3)'!K83</f>
        <v>2461.4699999999998</v>
      </c>
    </row>
    <row r="6" spans="1:11" x14ac:dyDescent="0.3">
      <c r="A6" t="s">
        <v>47</v>
      </c>
      <c r="B6" s="2">
        <f>'Data Sheet (3)'!B84</f>
        <v>3026.77</v>
      </c>
      <c r="C6" s="2">
        <f>'Data Sheet (3)'!C84</f>
        <v>823.68</v>
      </c>
      <c r="D6" s="2">
        <f>'Data Sheet (3)'!D84</f>
        <v>6351.02</v>
      </c>
      <c r="E6" s="2">
        <f>'Data Sheet (3)'!E84</f>
        <v>9192.9</v>
      </c>
      <c r="F6" s="2">
        <f>'Data Sheet (3)'!F84</f>
        <v>9712.42</v>
      </c>
      <c r="G6" s="2">
        <f>'Data Sheet (3)'!G84</f>
        <v>3445.49</v>
      </c>
      <c r="H6" s="2">
        <f>'Data Sheet (3)'!H84</f>
        <v>395.02</v>
      </c>
      <c r="I6" s="2">
        <f>'Data Sheet (3)'!I84</f>
        <v>11809.06</v>
      </c>
      <c r="J6" s="2">
        <f>'Data Sheet (3)'!J84</f>
        <v>30041.47</v>
      </c>
      <c r="K6" s="2">
        <f>'Data Sheet (3)'!K84</f>
        <v>49319.56</v>
      </c>
    </row>
    <row r="7" spans="1:11" s="5" customFormat="1" x14ac:dyDescent="0.3">
      <c r="A7" s="5" t="s">
        <v>46</v>
      </c>
      <c r="B7" s="1">
        <f>'Data Sheet (3)'!B85</f>
        <v>663.92</v>
      </c>
      <c r="C7" s="1">
        <f>'Data Sheet (3)'!C85</f>
        <v>-734.06</v>
      </c>
      <c r="D7" s="1">
        <f>'Data Sheet (3)'!D85</f>
        <v>1364.46</v>
      </c>
      <c r="E7" s="1">
        <f>'Data Sheet (3)'!E85</f>
        <v>3838.09</v>
      </c>
      <c r="F7" s="1">
        <f>'Data Sheet (3)'!F85</f>
        <v>1934.77</v>
      </c>
      <c r="G7" s="1">
        <f>'Data Sheet (3)'!G85</f>
        <v>2259.54</v>
      </c>
      <c r="H7" s="1">
        <f>'Data Sheet (3)'!H85</f>
        <v>-2229.11</v>
      </c>
      <c r="I7" s="1">
        <f>'Data Sheet (3)'!I85</f>
        <v>-1748.75</v>
      </c>
      <c r="J7" s="1">
        <f>'Data Sheet (3)'!J85</f>
        <v>2141.9299999999998</v>
      </c>
      <c r="K7" s="1">
        <f>'Data Sheet (3)'!K85</f>
        <v>4388.38</v>
      </c>
    </row>
    <row r="8" spans="1:11" x14ac:dyDescent="0.3">
      <c r="B8" s="2"/>
      <c r="C8" s="2"/>
      <c r="D8" s="2"/>
      <c r="E8" s="2"/>
      <c r="F8" s="2"/>
      <c r="G8" s="2"/>
      <c r="H8" s="2"/>
      <c r="I8" s="2"/>
      <c r="J8" s="2"/>
      <c r="K8" s="2"/>
    </row>
    <row r="24" customFormat="1" x14ac:dyDescent="0.3"/>
  </sheetData>
  <hyperlinks>
    <hyperlink ref="J1" r:id="rId1" xr:uid="{02D26B3F-53F5-44F2-A7A5-49B676898F4D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0C21-9D7F-45DD-B3E7-6BB74BCAE1AB}"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5"/>
    <col min="2" max="2" width="10.44140625" customWidth="1"/>
    <col min="3" max="3" width="13.33203125" style="18" customWidth="1"/>
    <col min="6" max="6" width="6.77734375" customWidth="1"/>
  </cols>
  <sheetData>
    <row r="1" spans="1:7" ht="21" x14ac:dyDescent="0.4">
      <c r="A1" s="21" t="s">
        <v>61</v>
      </c>
    </row>
    <row r="3" spans="1:7" x14ac:dyDescent="0.3">
      <c r="A3" s="5" t="s">
        <v>60</v>
      </c>
    </row>
    <row r="4" spans="1:7" x14ac:dyDescent="0.3">
      <c r="B4" t="s">
        <v>59</v>
      </c>
    </row>
    <row r="5" spans="1:7" x14ac:dyDescent="0.3">
      <c r="B5" t="s">
        <v>58</v>
      </c>
    </row>
    <row r="7" spans="1:7" x14ac:dyDescent="0.3">
      <c r="A7" s="5" t="s">
        <v>57</v>
      </c>
    </row>
    <row r="8" spans="1:7" x14ac:dyDescent="0.3">
      <c r="B8" t="s">
        <v>56</v>
      </c>
      <c r="C8" s="20" t="s">
        <v>55</v>
      </c>
    </row>
    <row r="10" spans="1:7" x14ac:dyDescent="0.3">
      <c r="A10" s="5" t="s">
        <v>54</v>
      </c>
    </row>
    <row r="11" spans="1:7" x14ac:dyDescent="0.3">
      <c r="B11" t="s">
        <v>53</v>
      </c>
    </row>
    <row r="14" spans="1:7" x14ac:dyDescent="0.3">
      <c r="A14" s="5" t="s">
        <v>52</v>
      </c>
    </row>
    <row r="15" spans="1:7" x14ac:dyDescent="0.3">
      <c r="B15" t="s">
        <v>51</v>
      </c>
    </row>
    <row r="16" spans="1:7" x14ac:dyDescent="0.3">
      <c r="B16" t="s">
        <v>50</v>
      </c>
      <c r="G16" s="19"/>
    </row>
  </sheetData>
  <hyperlinks>
    <hyperlink ref="C8" r:id="rId1" display=" http://www.screener.in/excel" xr:uid="{FC11154D-7407-4E0C-9067-A1942DBA39C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5BB8-5A35-48F7-AC3B-01B3F571091B}">
  <dimension ref="A1:K93"/>
  <sheetViews>
    <sheetView tabSelected="1"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15" bestFit="1" customWidth="1"/>
    <col min="2" max="11" width="13.44140625" style="15" bestFit="1" customWidth="1"/>
    <col min="12" max="16384" width="8.77734375" style="15"/>
  </cols>
  <sheetData>
    <row r="1" spans="1:11" s="1" customFormat="1" x14ac:dyDescent="0.3">
      <c r="A1" s="1" t="s">
        <v>92</v>
      </c>
      <c r="B1" s="1" t="s">
        <v>94</v>
      </c>
      <c r="E1" s="26" t="str">
        <f>IF(B2&lt;&gt;B3, "A NEW VERSION OF THE WORKSHEET IS AVAILABLE", "")</f>
        <v/>
      </c>
      <c r="F1" s="26"/>
      <c r="G1" s="26"/>
      <c r="H1" s="26"/>
      <c r="I1" s="26"/>
      <c r="J1" s="26"/>
      <c r="K1" s="26"/>
    </row>
    <row r="2" spans="1:11" x14ac:dyDescent="0.3">
      <c r="A2" s="1" t="s">
        <v>90</v>
      </c>
      <c r="B2" s="15">
        <v>2.1</v>
      </c>
      <c r="E2" s="25" t="s">
        <v>89</v>
      </c>
      <c r="F2" s="25"/>
      <c r="G2" s="25"/>
      <c r="H2" s="25"/>
      <c r="I2" s="25"/>
      <c r="J2" s="25"/>
      <c r="K2" s="25"/>
    </row>
    <row r="3" spans="1:11" x14ac:dyDescent="0.3">
      <c r="A3" s="1" t="s">
        <v>88</v>
      </c>
      <c r="B3" s="15">
        <v>2.1</v>
      </c>
    </row>
    <row r="4" spans="1:11" x14ac:dyDescent="0.3">
      <c r="A4" s="1"/>
    </row>
    <row r="5" spans="1:11" x14ac:dyDescent="0.3">
      <c r="A5" s="1" t="s">
        <v>87</v>
      </c>
    </row>
    <row r="6" spans="1:11" x14ac:dyDescent="0.3">
      <c r="A6" s="15" t="s">
        <v>86</v>
      </c>
      <c r="B6" s="15">
        <f>IF(B9&gt;0, B9/B8, 0)</f>
        <v>40.120780683538065</v>
      </c>
    </row>
    <row r="7" spans="1:11" x14ac:dyDescent="0.3">
      <c r="A7" s="15" t="s">
        <v>85</v>
      </c>
      <c r="B7">
        <v>10</v>
      </c>
    </row>
    <row r="8" spans="1:11" x14ac:dyDescent="0.3">
      <c r="A8" s="15" t="s">
        <v>84</v>
      </c>
      <c r="B8">
        <v>2841.1</v>
      </c>
    </row>
    <row r="9" spans="1:11" x14ac:dyDescent="0.3">
      <c r="A9" s="15" t="s">
        <v>83</v>
      </c>
      <c r="B9">
        <v>113987.15</v>
      </c>
    </row>
    <row r="15" spans="1:11" x14ac:dyDescent="0.3">
      <c r="A15" s="1" t="s">
        <v>82</v>
      </c>
    </row>
    <row r="16" spans="1:11" s="23" customFormat="1" x14ac:dyDescent="0.3">
      <c r="A16" s="24" t="s">
        <v>65</v>
      </c>
      <c r="B16" s="7">
        <v>42825</v>
      </c>
      <c r="C16" s="7">
        <v>43190</v>
      </c>
      <c r="D16" s="7">
        <v>43555</v>
      </c>
      <c r="E16" s="7">
        <v>43921</v>
      </c>
      <c r="F16" s="7">
        <v>44286</v>
      </c>
      <c r="G16" s="7">
        <v>44651</v>
      </c>
      <c r="H16" s="7">
        <v>45016</v>
      </c>
      <c r="I16" s="7">
        <v>45382</v>
      </c>
      <c r="J16" s="7">
        <v>45747</v>
      </c>
      <c r="K16" s="7">
        <v>46112</v>
      </c>
    </row>
    <row r="17" spans="1:11" s="2" customFormat="1" x14ac:dyDescent="0.3">
      <c r="A17" s="2" t="s">
        <v>24</v>
      </c>
      <c r="B17">
        <v>5934.98</v>
      </c>
      <c r="C17">
        <v>6714.17</v>
      </c>
      <c r="D17">
        <v>7594.43</v>
      </c>
      <c r="E17">
        <v>9683.98</v>
      </c>
      <c r="F17">
        <v>11534.56</v>
      </c>
      <c r="G17">
        <v>12185.61</v>
      </c>
      <c r="H17">
        <v>11897.66</v>
      </c>
      <c r="I17">
        <v>15061.66</v>
      </c>
      <c r="J17">
        <v>20214.169999999998</v>
      </c>
      <c r="K17">
        <v>31209.23</v>
      </c>
    </row>
    <row r="18" spans="1:11" s="2" customFormat="1" x14ac:dyDescent="0.3">
      <c r="A18" s="15" t="s">
        <v>81</v>
      </c>
    </row>
    <row r="19" spans="1:11" s="2" customFormat="1" x14ac:dyDescent="0.3">
      <c r="A19" s="15" t="s">
        <v>80</v>
      </c>
    </row>
    <row r="20" spans="1:11" s="2" customFormat="1" x14ac:dyDescent="0.3">
      <c r="A20" s="15" t="s">
        <v>79</v>
      </c>
      <c r="B20">
        <v>27.48</v>
      </c>
      <c r="C20">
        <v>29.68</v>
      </c>
      <c r="D20">
        <v>31.54</v>
      </c>
      <c r="E20">
        <v>33.79</v>
      </c>
      <c r="F20">
        <v>30.71</v>
      </c>
      <c r="G20">
        <v>33.67</v>
      </c>
      <c r="H20">
        <v>43.06</v>
      </c>
      <c r="I20">
        <v>52.38</v>
      </c>
      <c r="J20">
        <v>60.47</v>
      </c>
      <c r="K20">
        <v>63.15</v>
      </c>
    </row>
    <row r="21" spans="1:11" s="2" customFormat="1" x14ac:dyDescent="0.3">
      <c r="A21" s="15" t="s">
        <v>78</v>
      </c>
      <c r="B21">
        <v>39.26</v>
      </c>
      <c r="C21">
        <v>31.95</v>
      </c>
      <c r="D21">
        <v>25.46</v>
      </c>
      <c r="E21">
        <v>25.54</v>
      </c>
      <c r="F21">
        <v>38.979999999999997</v>
      </c>
      <c r="G21">
        <v>67.739999999999995</v>
      </c>
      <c r="H21">
        <v>62.12</v>
      </c>
      <c r="I21">
        <v>83.4</v>
      </c>
      <c r="J21">
        <v>153.87</v>
      </c>
      <c r="K21">
        <v>185.69</v>
      </c>
    </row>
    <row r="22" spans="1:11" s="2" customFormat="1" x14ac:dyDescent="0.3">
      <c r="A22" s="15" t="s">
        <v>77</v>
      </c>
      <c r="B22">
        <v>760.82</v>
      </c>
      <c r="C22">
        <v>850.35</v>
      </c>
      <c r="D22">
        <v>1014.78</v>
      </c>
      <c r="E22">
        <v>1211.01</v>
      </c>
      <c r="F22">
        <v>1191.33</v>
      </c>
      <c r="G22">
        <v>1239.8</v>
      </c>
      <c r="H22">
        <v>1490.77</v>
      </c>
      <c r="I22">
        <v>1831.06</v>
      </c>
      <c r="J22">
        <v>2198.6799999999998</v>
      </c>
      <c r="K22">
        <v>2794.81</v>
      </c>
    </row>
    <row r="23" spans="1:11" s="2" customFormat="1" x14ac:dyDescent="0.3">
      <c r="A23" s="15" t="s">
        <v>76</v>
      </c>
      <c r="B23">
        <v>376.12</v>
      </c>
      <c r="C23">
        <v>439.66</v>
      </c>
      <c r="D23">
        <v>555.98</v>
      </c>
      <c r="E23">
        <v>628.52</v>
      </c>
      <c r="F23">
        <v>614.47</v>
      </c>
      <c r="G23">
        <v>620.70000000000005</v>
      </c>
      <c r="H23">
        <v>750.89</v>
      </c>
      <c r="I23">
        <v>929.06</v>
      </c>
      <c r="J23">
        <v>1269.46</v>
      </c>
      <c r="K23">
        <v>1482.53</v>
      </c>
    </row>
    <row r="24" spans="1:11" s="2" customFormat="1" x14ac:dyDescent="0.3">
      <c r="A24" s="15" t="s">
        <v>75</v>
      </c>
      <c r="B24">
        <v>350</v>
      </c>
      <c r="C24">
        <v>304.19</v>
      </c>
      <c r="D24">
        <v>118.77</v>
      </c>
      <c r="E24">
        <v>307.68</v>
      </c>
      <c r="F24">
        <v>383.43</v>
      </c>
      <c r="G24">
        <v>527.83000000000004</v>
      </c>
      <c r="H24">
        <v>400.26</v>
      </c>
      <c r="I24">
        <v>726.56</v>
      </c>
      <c r="J24">
        <v>1739.33</v>
      </c>
      <c r="K24">
        <v>1240.8</v>
      </c>
    </row>
    <row r="25" spans="1:11" s="2" customFormat="1" x14ac:dyDescent="0.3">
      <c r="A25" s="2" t="s">
        <v>21</v>
      </c>
      <c r="B25">
        <v>3.19</v>
      </c>
      <c r="C25">
        <v>67.27</v>
      </c>
      <c r="D25">
        <v>6.2</v>
      </c>
      <c r="E25">
        <v>22.02</v>
      </c>
      <c r="F25">
        <v>32.1</v>
      </c>
      <c r="G25">
        <v>51.9</v>
      </c>
      <c r="H25">
        <v>75.22</v>
      </c>
      <c r="I25">
        <v>100.98</v>
      </c>
      <c r="J25">
        <v>50.83</v>
      </c>
      <c r="K25">
        <v>54.13</v>
      </c>
    </row>
    <row r="26" spans="1:11" s="2" customFormat="1" x14ac:dyDescent="0.3">
      <c r="A26" s="2" t="s">
        <v>20</v>
      </c>
      <c r="B26">
        <v>51.92</v>
      </c>
      <c r="C26">
        <v>51.93</v>
      </c>
      <c r="D26">
        <v>51.69</v>
      </c>
      <c r="E26">
        <v>59.24</v>
      </c>
      <c r="F26">
        <v>67.36</v>
      </c>
      <c r="G26">
        <v>70</v>
      </c>
      <c r="H26">
        <v>78.16</v>
      </c>
      <c r="I26">
        <v>92.11</v>
      </c>
      <c r="J26">
        <v>115.99</v>
      </c>
      <c r="K26">
        <v>137.31</v>
      </c>
    </row>
    <row r="27" spans="1:11" s="2" customFormat="1" x14ac:dyDescent="0.3">
      <c r="A27" s="2" t="s">
        <v>19</v>
      </c>
      <c r="B27">
        <v>2373.9899999999998</v>
      </c>
      <c r="C27">
        <v>2131.61</v>
      </c>
      <c r="D27">
        <v>2542.88</v>
      </c>
      <c r="E27">
        <v>3179.83</v>
      </c>
      <c r="F27">
        <v>4108.8999999999996</v>
      </c>
      <c r="G27">
        <v>4267.58</v>
      </c>
      <c r="H27">
        <v>4224.84</v>
      </c>
      <c r="I27">
        <v>5451.57</v>
      </c>
      <c r="J27">
        <v>7461.2</v>
      </c>
      <c r="K27">
        <v>11054.22</v>
      </c>
    </row>
    <row r="28" spans="1:11" s="2" customFormat="1" x14ac:dyDescent="0.3">
      <c r="A28" s="2" t="s">
        <v>18</v>
      </c>
      <c r="B28">
        <v>1958.58</v>
      </c>
      <c r="C28">
        <v>2942.07</v>
      </c>
      <c r="D28">
        <v>3259.53</v>
      </c>
      <c r="E28">
        <v>4260.3900000000003</v>
      </c>
      <c r="F28">
        <v>5131.4799999999996</v>
      </c>
      <c r="G28">
        <v>5410.19</v>
      </c>
      <c r="H28">
        <v>4922.78</v>
      </c>
      <c r="I28">
        <v>5996.5</v>
      </c>
      <c r="J28">
        <v>7266</v>
      </c>
      <c r="K28">
        <v>14304.85</v>
      </c>
    </row>
    <row r="29" spans="1:11" s="2" customFormat="1" x14ac:dyDescent="0.3">
      <c r="A29" s="2" t="s">
        <v>17</v>
      </c>
      <c r="B29">
        <v>751.33</v>
      </c>
      <c r="C29">
        <v>1098.33</v>
      </c>
      <c r="D29">
        <v>1156.57</v>
      </c>
      <c r="E29">
        <v>1091.71</v>
      </c>
      <c r="F29">
        <v>1312.61</v>
      </c>
      <c r="G29">
        <v>1378.87</v>
      </c>
      <c r="H29">
        <v>1253.02</v>
      </c>
      <c r="I29">
        <v>1528.91</v>
      </c>
      <c r="J29">
        <v>1913.65</v>
      </c>
      <c r="K29">
        <v>3697.98</v>
      </c>
    </row>
    <row r="30" spans="1:11" s="2" customFormat="1" x14ac:dyDescent="0.3">
      <c r="A30" s="2" t="s">
        <v>16</v>
      </c>
      <c r="B30">
        <v>1199.79</v>
      </c>
      <c r="C30">
        <v>1829.83</v>
      </c>
      <c r="D30">
        <v>2078.0100000000002</v>
      </c>
      <c r="E30">
        <v>3138.25</v>
      </c>
      <c r="F30">
        <v>3804.4</v>
      </c>
      <c r="G30">
        <v>4016.62</v>
      </c>
      <c r="H30">
        <v>3612.3</v>
      </c>
      <c r="I30">
        <v>4324.29</v>
      </c>
      <c r="J30">
        <v>5332.9</v>
      </c>
      <c r="K30">
        <v>10590.34</v>
      </c>
    </row>
    <row r="31" spans="1:11" s="2" customFormat="1" x14ac:dyDescent="0.3">
      <c r="A31" s="2" t="s">
        <v>74</v>
      </c>
      <c r="B31">
        <v>239.69</v>
      </c>
      <c r="C31">
        <v>400.04</v>
      </c>
      <c r="D31">
        <v>480.79</v>
      </c>
      <c r="E31">
        <v>601.55999999999995</v>
      </c>
      <c r="F31">
        <v>802.4</v>
      </c>
      <c r="G31">
        <v>802.7</v>
      </c>
      <c r="H31">
        <v>883.19</v>
      </c>
      <c r="I31">
        <v>963.5</v>
      </c>
      <c r="J31">
        <v>1043.8</v>
      </c>
      <c r="K31">
        <v>1204.4100000000001</v>
      </c>
    </row>
    <row r="32" spans="1:11" s="2" customFormat="1" x14ac:dyDescent="0.3"/>
    <row r="33" spans="1:11" x14ac:dyDescent="0.3">
      <c r="A33" s="2"/>
    </row>
    <row r="34" spans="1:11" x14ac:dyDescent="0.3">
      <c r="A34" s="2"/>
    </row>
    <row r="35" spans="1:11" x14ac:dyDescent="0.3">
      <c r="A35" s="2"/>
    </row>
    <row r="36" spans="1:11" x14ac:dyDescent="0.3">
      <c r="A36" s="2"/>
    </row>
    <row r="37" spans="1:11" x14ac:dyDescent="0.3">
      <c r="A37" s="2"/>
    </row>
    <row r="38" spans="1:11" x14ac:dyDescent="0.3">
      <c r="A38" s="2"/>
    </row>
    <row r="39" spans="1:11" x14ac:dyDescent="0.3">
      <c r="A39" s="2"/>
    </row>
    <row r="40" spans="1:11" x14ac:dyDescent="0.3">
      <c r="A40" s="1" t="s">
        <v>73</v>
      </c>
    </row>
    <row r="41" spans="1:11" s="23" customFormat="1" x14ac:dyDescent="0.3">
      <c r="A41" s="24" t="s">
        <v>65</v>
      </c>
      <c r="B41" s="7">
        <v>45382</v>
      </c>
      <c r="C41" s="7">
        <v>45473</v>
      </c>
      <c r="D41" s="7">
        <v>45565</v>
      </c>
      <c r="E41" s="7">
        <v>45657</v>
      </c>
      <c r="F41" s="7">
        <v>45747</v>
      </c>
      <c r="G41" s="7">
        <v>45838</v>
      </c>
      <c r="H41" s="7">
        <v>45930</v>
      </c>
      <c r="I41" s="7">
        <v>46022</v>
      </c>
      <c r="J41" s="7">
        <v>46112</v>
      </c>
      <c r="K41" s="7">
        <v>46203</v>
      </c>
    </row>
    <row r="42" spans="1:11" s="2" customFormat="1" x14ac:dyDescent="0.3">
      <c r="A42" s="2" t="s">
        <v>24</v>
      </c>
      <c r="B42">
        <v>4163.8</v>
      </c>
      <c r="C42">
        <v>4473.8599999999997</v>
      </c>
      <c r="D42">
        <v>4928.82</v>
      </c>
      <c r="E42">
        <v>5189.7299999999996</v>
      </c>
      <c r="F42">
        <v>5621.75</v>
      </c>
      <c r="G42">
        <v>6450.13</v>
      </c>
      <c r="H42">
        <v>7282.79</v>
      </c>
      <c r="I42">
        <v>8187.6</v>
      </c>
      <c r="J42">
        <v>9288.7099999999991</v>
      </c>
      <c r="K42">
        <v>8671.6</v>
      </c>
    </row>
    <row r="43" spans="1:11" s="2" customFormat="1" x14ac:dyDescent="0.3">
      <c r="A43" s="2" t="s">
        <v>23</v>
      </c>
      <c r="B43">
        <v>1121</v>
      </c>
      <c r="C43">
        <v>1226.42</v>
      </c>
      <c r="D43">
        <v>1323.72</v>
      </c>
      <c r="E43">
        <v>1405.23</v>
      </c>
      <c r="F43">
        <v>1549.23</v>
      </c>
      <c r="G43">
        <v>1421.99</v>
      </c>
      <c r="H43">
        <v>1479.56</v>
      </c>
      <c r="I43">
        <v>1425.72</v>
      </c>
      <c r="J43">
        <v>1527.95</v>
      </c>
      <c r="K43">
        <v>1407.89</v>
      </c>
    </row>
    <row r="44" spans="1:11" s="2" customFormat="1" x14ac:dyDescent="0.3">
      <c r="A44" s="2" t="s">
        <v>21</v>
      </c>
      <c r="B44">
        <v>15.62</v>
      </c>
      <c r="C44">
        <v>18.61</v>
      </c>
      <c r="D44">
        <v>28.57</v>
      </c>
      <c r="E44">
        <v>31.95</v>
      </c>
      <c r="F44">
        <v>5.62</v>
      </c>
      <c r="G44">
        <v>15.55</v>
      </c>
      <c r="H44">
        <v>49.8</v>
      </c>
      <c r="I44">
        <v>19.78</v>
      </c>
      <c r="J44">
        <v>2.65</v>
      </c>
      <c r="K44">
        <v>23.21</v>
      </c>
    </row>
    <row r="45" spans="1:11" s="2" customFormat="1" x14ac:dyDescent="0.3">
      <c r="A45" s="2" t="s">
        <v>20</v>
      </c>
      <c r="B45">
        <v>26.61</v>
      </c>
      <c r="C45">
        <v>25.84</v>
      </c>
      <c r="D45">
        <v>24.86</v>
      </c>
      <c r="E45">
        <v>30.58</v>
      </c>
      <c r="F45">
        <v>34.71</v>
      </c>
      <c r="G45">
        <v>34.75</v>
      </c>
      <c r="H45">
        <v>37.61</v>
      </c>
      <c r="I45">
        <v>40.479999999999997</v>
      </c>
      <c r="J45">
        <v>24.48</v>
      </c>
      <c r="K45">
        <v>31.4</v>
      </c>
    </row>
    <row r="46" spans="1:11" s="2" customFormat="1" x14ac:dyDescent="0.3">
      <c r="A46" s="2" t="s">
        <v>19</v>
      </c>
      <c r="B46">
        <v>1446.64</v>
      </c>
      <c r="C46">
        <v>1594.51</v>
      </c>
      <c r="D46">
        <v>1807.03</v>
      </c>
      <c r="E46">
        <v>1899.55</v>
      </c>
      <c r="F46">
        <v>2111.2199999999998</v>
      </c>
      <c r="G46">
        <v>2354.91</v>
      </c>
      <c r="H46">
        <v>2571.2199999999998</v>
      </c>
      <c r="I46">
        <v>2918.72</v>
      </c>
      <c r="J46">
        <v>3154.78</v>
      </c>
      <c r="K46">
        <v>3458.39</v>
      </c>
    </row>
    <row r="47" spans="1:11" s="2" customFormat="1" x14ac:dyDescent="0.3">
      <c r="A47" s="2" t="s">
        <v>18</v>
      </c>
      <c r="B47">
        <v>1585.17</v>
      </c>
      <c r="C47">
        <v>1645.7</v>
      </c>
      <c r="D47">
        <v>1801.78</v>
      </c>
      <c r="E47">
        <v>1886.32</v>
      </c>
      <c r="F47">
        <v>1932.21</v>
      </c>
      <c r="G47">
        <v>2654.03</v>
      </c>
      <c r="H47">
        <v>3244.2</v>
      </c>
      <c r="I47">
        <v>3822.46</v>
      </c>
      <c r="J47">
        <v>4584.1499999999996</v>
      </c>
      <c r="K47">
        <v>3797.13</v>
      </c>
    </row>
    <row r="48" spans="1:11" s="2" customFormat="1" x14ac:dyDescent="0.3">
      <c r="A48" s="2" t="s">
        <v>17</v>
      </c>
      <c r="B48">
        <v>402.9</v>
      </c>
      <c r="C48">
        <v>450.04</v>
      </c>
      <c r="D48">
        <v>480.55</v>
      </c>
      <c r="E48">
        <v>494.78</v>
      </c>
      <c r="F48">
        <v>488.27</v>
      </c>
      <c r="G48">
        <v>679.78</v>
      </c>
      <c r="H48">
        <v>832.54</v>
      </c>
      <c r="I48">
        <v>998.98</v>
      </c>
      <c r="J48">
        <v>1186.68</v>
      </c>
      <c r="K48">
        <v>972.29</v>
      </c>
    </row>
    <row r="49" spans="1:11" s="2" customFormat="1" x14ac:dyDescent="0.3">
      <c r="A49" s="2" t="s">
        <v>16</v>
      </c>
      <c r="B49">
        <v>1139.07</v>
      </c>
      <c r="C49">
        <v>1164.03</v>
      </c>
      <c r="D49">
        <v>1271.5999999999999</v>
      </c>
      <c r="E49">
        <v>1389.18</v>
      </c>
      <c r="F49">
        <v>1477.68</v>
      </c>
      <c r="G49">
        <v>2016.2</v>
      </c>
      <c r="H49">
        <v>2420.63</v>
      </c>
      <c r="I49">
        <v>2804.03</v>
      </c>
      <c r="J49">
        <v>3349.47</v>
      </c>
      <c r="K49">
        <v>2799.07</v>
      </c>
    </row>
    <row r="50" spans="1:11" x14ac:dyDescent="0.3">
      <c r="A50" s="2" t="s">
        <v>22</v>
      </c>
      <c r="B50">
        <v>3042.8</v>
      </c>
      <c r="C50">
        <v>3247.44</v>
      </c>
      <c r="D50">
        <v>3605.1</v>
      </c>
      <c r="E50">
        <v>3784.5</v>
      </c>
      <c r="F50">
        <v>4072.52</v>
      </c>
      <c r="G50">
        <v>5028.1400000000003</v>
      </c>
      <c r="H50">
        <v>5803.23</v>
      </c>
      <c r="I50">
        <v>6761.88</v>
      </c>
      <c r="J50">
        <v>7760.76</v>
      </c>
      <c r="K50">
        <v>7263.71</v>
      </c>
    </row>
    <row r="51" spans="1:11" x14ac:dyDescent="0.3">
      <c r="A51" s="2"/>
    </row>
    <row r="52" spans="1:11" x14ac:dyDescent="0.3">
      <c r="A52" s="2"/>
    </row>
    <row r="53" spans="1:11" x14ac:dyDescent="0.3">
      <c r="A53" s="2"/>
    </row>
    <row r="54" spans="1:11" x14ac:dyDescent="0.3">
      <c r="A54" s="2"/>
    </row>
    <row r="55" spans="1:11" x14ac:dyDescent="0.3">
      <c r="A55" s="1" t="s">
        <v>72</v>
      </c>
    </row>
    <row r="56" spans="1:11" s="23" customFormat="1" x14ac:dyDescent="0.3">
      <c r="A56" s="24" t="s">
        <v>65</v>
      </c>
      <c r="B56" s="7">
        <v>42825</v>
      </c>
      <c r="C56" s="7">
        <v>43190</v>
      </c>
      <c r="D56" s="7">
        <v>43555</v>
      </c>
      <c r="E56" s="7">
        <v>43921</v>
      </c>
      <c r="F56" s="7">
        <v>44286</v>
      </c>
      <c r="G56" s="7">
        <v>44651</v>
      </c>
      <c r="H56" s="7">
        <v>45016</v>
      </c>
      <c r="I56" s="7">
        <v>45382</v>
      </c>
      <c r="J56" s="7">
        <v>45747</v>
      </c>
      <c r="K56" s="7">
        <v>46112</v>
      </c>
    </row>
    <row r="57" spans="1:11" x14ac:dyDescent="0.3">
      <c r="A57" s="2" t="s">
        <v>45</v>
      </c>
      <c r="B57">
        <v>399.48</v>
      </c>
      <c r="C57">
        <v>400.04</v>
      </c>
      <c r="D57">
        <v>400.66</v>
      </c>
      <c r="E57">
        <v>401.04</v>
      </c>
      <c r="F57">
        <v>401.2</v>
      </c>
      <c r="G57">
        <v>401.35</v>
      </c>
      <c r="H57">
        <v>401.45</v>
      </c>
      <c r="I57">
        <v>401.46</v>
      </c>
      <c r="J57">
        <v>401.46</v>
      </c>
      <c r="K57">
        <v>401.47</v>
      </c>
    </row>
    <row r="58" spans="1:11" x14ac:dyDescent="0.3">
      <c r="A58" s="2" t="s">
        <v>44</v>
      </c>
      <c r="B58">
        <v>6138.56</v>
      </c>
      <c r="C58">
        <v>7456.53</v>
      </c>
      <c r="D58">
        <v>9530.5400000000009</v>
      </c>
      <c r="E58">
        <v>11428.17</v>
      </c>
      <c r="F58">
        <v>15173.83</v>
      </c>
      <c r="G58">
        <v>18384.38</v>
      </c>
      <c r="H58">
        <v>21264.3</v>
      </c>
      <c r="I58">
        <v>24705.75</v>
      </c>
      <c r="J58">
        <v>28965.16</v>
      </c>
      <c r="K58">
        <v>38728.85</v>
      </c>
    </row>
    <row r="59" spans="1:11" x14ac:dyDescent="0.3">
      <c r="A59" s="2" t="s">
        <v>43</v>
      </c>
      <c r="B59">
        <v>22176.68</v>
      </c>
      <c r="C59">
        <v>23890.7</v>
      </c>
      <c r="D59">
        <v>30127.51</v>
      </c>
      <c r="E59">
        <v>40951.97</v>
      </c>
      <c r="F59">
        <v>50414.37</v>
      </c>
      <c r="G59">
        <v>54568.6</v>
      </c>
      <c r="H59">
        <v>55803.73</v>
      </c>
      <c r="I59">
        <v>68125.03</v>
      </c>
      <c r="J59">
        <v>99382.86</v>
      </c>
      <c r="K59">
        <v>151806.49</v>
      </c>
    </row>
    <row r="60" spans="1:11" x14ac:dyDescent="0.3">
      <c r="A60" s="2" t="s">
        <v>42</v>
      </c>
      <c r="B60">
        <v>3469.43</v>
      </c>
      <c r="C60">
        <v>1924.51</v>
      </c>
      <c r="D60">
        <v>1675.05</v>
      </c>
      <c r="E60">
        <v>2085.41</v>
      </c>
      <c r="F60">
        <v>2637.82</v>
      </c>
      <c r="G60">
        <v>2945.5</v>
      </c>
      <c r="H60">
        <v>2664.15</v>
      </c>
      <c r="I60">
        <v>3220.94</v>
      </c>
      <c r="J60">
        <v>4085.18</v>
      </c>
      <c r="K60">
        <v>4783.7</v>
      </c>
    </row>
    <row r="61" spans="1:11" s="1" customFormat="1" x14ac:dyDescent="0.3">
      <c r="A61" s="1" t="s">
        <v>37</v>
      </c>
      <c r="B61">
        <v>32184.15</v>
      </c>
      <c r="C61">
        <v>33671.78</v>
      </c>
      <c r="D61">
        <v>41733.760000000002</v>
      </c>
      <c r="E61">
        <v>54866.59</v>
      </c>
      <c r="F61">
        <v>68627.22</v>
      </c>
      <c r="G61">
        <v>76299.83</v>
      </c>
      <c r="H61">
        <v>80133.63</v>
      </c>
      <c r="I61">
        <v>96453.18</v>
      </c>
      <c r="J61">
        <v>132834.66</v>
      </c>
      <c r="K61">
        <v>195720.51</v>
      </c>
    </row>
    <row r="62" spans="1:11" x14ac:dyDescent="0.3">
      <c r="A62" s="2" t="s">
        <v>41</v>
      </c>
      <c r="B62">
        <v>257.38</v>
      </c>
      <c r="C62">
        <v>251.44</v>
      </c>
      <c r="D62">
        <v>259.26</v>
      </c>
      <c r="E62">
        <v>313.62</v>
      </c>
      <c r="F62">
        <v>327.08</v>
      </c>
      <c r="G62">
        <v>341.68</v>
      </c>
      <c r="H62">
        <v>385.54</v>
      </c>
      <c r="I62">
        <v>481.57</v>
      </c>
      <c r="J62">
        <v>681.87</v>
      </c>
      <c r="K62">
        <v>720.83</v>
      </c>
    </row>
    <row r="63" spans="1:11" x14ac:dyDescent="0.3">
      <c r="A63" s="2" t="s">
        <v>40</v>
      </c>
      <c r="B63">
        <v>9.98</v>
      </c>
      <c r="C63">
        <v>5.74</v>
      </c>
      <c r="D63">
        <v>22.83</v>
      </c>
      <c r="E63">
        <v>28.74</v>
      </c>
      <c r="F63">
        <v>38.53</v>
      </c>
      <c r="G63">
        <v>52.39</v>
      </c>
      <c r="H63">
        <v>67.47</v>
      </c>
      <c r="I63">
        <v>88.68</v>
      </c>
      <c r="J63">
        <v>12.83</v>
      </c>
      <c r="K63">
        <v>10.63</v>
      </c>
    </row>
    <row r="64" spans="1:11" x14ac:dyDescent="0.3">
      <c r="A64" s="2" t="s">
        <v>39</v>
      </c>
      <c r="B64">
        <v>96.53</v>
      </c>
      <c r="C64">
        <v>177.26</v>
      </c>
      <c r="D64">
        <v>211.13</v>
      </c>
      <c r="E64">
        <v>630.22</v>
      </c>
      <c r="F64">
        <v>808.51</v>
      </c>
      <c r="G64">
        <v>523.30999999999995</v>
      </c>
      <c r="H64">
        <v>545.71</v>
      </c>
      <c r="I64">
        <v>712.49</v>
      </c>
      <c r="J64">
        <v>2400.7199999999998</v>
      </c>
      <c r="K64">
        <v>550.20000000000005</v>
      </c>
    </row>
    <row r="65" spans="1:11" x14ac:dyDescent="0.3">
      <c r="A65" s="2" t="s">
        <v>38</v>
      </c>
      <c r="B65">
        <v>31820.26</v>
      </c>
      <c r="C65">
        <v>33237.339999999997</v>
      </c>
      <c r="D65">
        <v>41240.54</v>
      </c>
      <c r="E65">
        <v>53894.01</v>
      </c>
      <c r="F65">
        <v>67453.100000000006</v>
      </c>
      <c r="G65">
        <v>75382.45</v>
      </c>
      <c r="H65">
        <v>79134.91</v>
      </c>
      <c r="I65">
        <v>95170.44</v>
      </c>
      <c r="J65">
        <v>129739.24</v>
      </c>
      <c r="K65">
        <v>194438.85</v>
      </c>
    </row>
    <row r="66" spans="1:11" s="1" customFormat="1" x14ac:dyDescent="0.3">
      <c r="A66" s="1" t="s">
        <v>37</v>
      </c>
      <c r="B66">
        <v>32184.15</v>
      </c>
      <c r="C66">
        <v>33671.78</v>
      </c>
      <c r="D66">
        <v>41733.760000000002</v>
      </c>
      <c r="E66">
        <v>54866.59</v>
      </c>
      <c r="F66">
        <v>68627.22</v>
      </c>
      <c r="G66">
        <v>76299.83</v>
      </c>
      <c r="H66">
        <v>80133.63</v>
      </c>
      <c r="I66">
        <v>96453.18</v>
      </c>
      <c r="J66">
        <v>132834.66</v>
      </c>
      <c r="K66">
        <v>195720.51</v>
      </c>
    </row>
    <row r="67" spans="1:11" s="2" customFormat="1" x14ac:dyDescent="0.3">
      <c r="A67" s="2" t="s">
        <v>71</v>
      </c>
      <c r="B67">
        <v>1276.93</v>
      </c>
      <c r="C67">
        <v>26.65</v>
      </c>
      <c r="D67">
        <v>21.68</v>
      </c>
      <c r="E67">
        <v>8.98</v>
      </c>
      <c r="F67">
        <v>9.8000000000000007</v>
      </c>
      <c r="G67">
        <v>7.01</v>
      </c>
      <c r="H67">
        <v>9.9</v>
      </c>
      <c r="I67">
        <v>17.84</v>
      </c>
      <c r="J67">
        <v>11.86</v>
      </c>
      <c r="K67">
        <v>11.6</v>
      </c>
    </row>
    <row r="68" spans="1:11" x14ac:dyDescent="0.3">
      <c r="A68" s="2" t="s">
        <v>34</v>
      </c>
      <c r="D68">
        <v>1.47</v>
      </c>
      <c r="E68">
        <v>0.67</v>
      </c>
      <c r="F68">
        <v>0.67</v>
      </c>
      <c r="G68">
        <v>0.67</v>
      </c>
      <c r="H68">
        <v>0.43</v>
      </c>
      <c r="I68">
        <v>0.43</v>
      </c>
      <c r="J68">
        <v>0.43</v>
      </c>
      <c r="K68">
        <v>1.1200000000000001</v>
      </c>
    </row>
    <row r="69" spans="1:11" x14ac:dyDescent="0.3">
      <c r="A69" s="15" t="s">
        <v>70</v>
      </c>
      <c r="B69">
        <v>1644.67</v>
      </c>
      <c r="C69">
        <v>747.02</v>
      </c>
      <c r="D69">
        <v>2203.48</v>
      </c>
      <c r="E69">
        <v>6130.65</v>
      </c>
      <c r="F69">
        <v>8021.01</v>
      </c>
      <c r="G69">
        <v>10314.959999999999</v>
      </c>
      <c r="H69">
        <v>8035.66</v>
      </c>
      <c r="I69">
        <v>6272</v>
      </c>
      <c r="J69">
        <v>8346.02</v>
      </c>
      <c r="K69">
        <v>12867.84</v>
      </c>
    </row>
    <row r="70" spans="1:11" x14ac:dyDescent="0.3">
      <c r="A70" s="15" t="s">
        <v>69</v>
      </c>
      <c r="B70">
        <v>399475549</v>
      </c>
      <c r="C70">
        <v>400041239</v>
      </c>
      <c r="D70">
        <v>400661316</v>
      </c>
      <c r="E70">
        <v>401037326</v>
      </c>
      <c r="F70">
        <v>401195856</v>
      </c>
      <c r="G70">
        <v>401345266</v>
      </c>
      <c r="H70">
        <v>401448231</v>
      </c>
      <c r="I70">
        <v>401461676</v>
      </c>
      <c r="J70">
        <v>401463891</v>
      </c>
      <c r="K70">
        <v>401468476</v>
      </c>
    </row>
    <row r="71" spans="1:11" x14ac:dyDescent="0.3">
      <c r="A71" s="15" t="s">
        <v>68</v>
      </c>
    </row>
    <row r="72" spans="1:11" x14ac:dyDescent="0.3">
      <c r="A72" s="15" t="s">
        <v>67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2"/>
    </row>
    <row r="75" spans="1:11" x14ac:dyDescent="0.3">
      <c r="A75" s="2"/>
    </row>
    <row r="76" spans="1:11" x14ac:dyDescent="0.3">
      <c r="A76" s="2"/>
    </row>
    <row r="77" spans="1:11" x14ac:dyDescent="0.3">
      <c r="A77" s="2"/>
    </row>
    <row r="78" spans="1:11" x14ac:dyDescent="0.3">
      <c r="A78" s="2"/>
    </row>
    <row r="79" spans="1:11" x14ac:dyDescent="0.3">
      <c r="A79" s="2"/>
    </row>
    <row r="80" spans="1:11" x14ac:dyDescent="0.3">
      <c r="A80" s="1" t="s">
        <v>66</v>
      </c>
    </row>
    <row r="81" spans="1:11" s="23" customFormat="1" x14ac:dyDescent="0.3">
      <c r="A81" s="24" t="s">
        <v>65</v>
      </c>
      <c r="B81" s="7">
        <v>42825</v>
      </c>
      <c r="C81" s="7">
        <v>43190</v>
      </c>
      <c r="D81" s="7">
        <v>43555</v>
      </c>
      <c r="E81" s="7">
        <v>43921</v>
      </c>
      <c r="F81" s="7">
        <v>44286</v>
      </c>
      <c r="G81" s="7">
        <v>44651</v>
      </c>
      <c r="H81" s="7">
        <v>45016</v>
      </c>
      <c r="I81" s="7">
        <v>45382</v>
      </c>
      <c r="J81" s="7">
        <v>45747</v>
      </c>
      <c r="K81" s="7">
        <v>46112</v>
      </c>
    </row>
    <row r="82" spans="1:11" s="1" customFormat="1" x14ac:dyDescent="0.3">
      <c r="A82" s="2" t="s">
        <v>49</v>
      </c>
      <c r="B82">
        <v>-2186.1999999999998</v>
      </c>
      <c r="C82">
        <v>-1432.15</v>
      </c>
      <c r="D82">
        <v>-4824.2</v>
      </c>
      <c r="E82">
        <v>-4970.1000000000004</v>
      </c>
      <c r="F82">
        <v>-7814.29</v>
      </c>
      <c r="G82">
        <v>-1596.45</v>
      </c>
      <c r="H82">
        <v>-2804.07</v>
      </c>
      <c r="I82">
        <v>-13605.49</v>
      </c>
      <c r="J82">
        <v>-26524.89</v>
      </c>
      <c r="K82">
        <v>-47392.65</v>
      </c>
    </row>
    <row r="83" spans="1:11" s="2" customFormat="1" x14ac:dyDescent="0.3">
      <c r="A83" s="2" t="s">
        <v>48</v>
      </c>
      <c r="B83">
        <v>-176.65</v>
      </c>
      <c r="C83">
        <v>-125.59</v>
      </c>
      <c r="D83">
        <v>-162.36000000000001</v>
      </c>
      <c r="E83">
        <v>-384.71</v>
      </c>
      <c r="F83">
        <v>36.64</v>
      </c>
      <c r="G83">
        <v>410.5</v>
      </c>
      <c r="H83">
        <v>179.94</v>
      </c>
      <c r="I83">
        <v>47.67</v>
      </c>
      <c r="J83">
        <v>-1374.65</v>
      </c>
      <c r="K83">
        <v>2461.4699999999998</v>
      </c>
    </row>
    <row r="84" spans="1:11" s="2" customFormat="1" x14ac:dyDescent="0.3">
      <c r="A84" s="2" t="s">
        <v>47</v>
      </c>
      <c r="B84">
        <v>3026.77</v>
      </c>
      <c r="C84">
        <v>823.68</v>
      </c>
      <c r="D84">
        <v>6351.02</v>
      </c>
      <c r="E84">
        <v>9192.9</v>
      </c>
      <c r="F84">
        <v>9712.42</v>
      </c>
      <c r="G84">
        <v>3445.49</v>
      </c>
      <c r="H84">
        <v>395.02</v>
      </c>
      <c r="I84">
        <v>11809.06</v>
      </c>
      <c r="J84">
        <v>30041.47</v>
      </c>
      <c r="K84">
        <v>49319.56</v>
      </c>
    </row>
    <row r="85" spans="1:11" s="1" customFormat="1" x14ac:dyDescent="0.3">
      <c r="A85" s="2" t="s">
        <v>46</v>
      </c>
      <c r="B85">
        <v>663.92</v>
      </c>
      <c r="C85">
        <v>-734.06</v>
      </c>
      <c r="D85">
        <v>1364.46</v>
      </c>
      <c r="E85">
        <v>3838.09</v>
      </c>
      <c r="F85">
        <v>1934.77</v>
      </c>
      <c r="G85">
        <v>2259.54</v>
      </c>
      <c r="H85">
        <v>-2229.11</v>
      </c>
      <c r="I85">
        <v>-1748.75</v>
      </c>
      <c r="J85">
        <v>2141.9299999999998</v>
      </c>
      <c r="K85">
        <v>4388.38</v>
      </c>
    </row>
    <row r="86" spans="1:11" x14ac:dyDescent="0.3">
      <c r="A86" s="2"/>
    </row>
    <row r="87" spans="1:11" x14ac:dyDescent="0.3">
      <c r="A87" s="2"/>
    </row>
    <row r="88" spans="1:11" x14ac:dyDescent="0.3">
      <c r="A88" s="2"/>
    </row>
    <row r="89" spans="1:11" x14ac:dyDescent="0.3">
      <c r="A89" s="2"/>
    </row>
    <row r="90" spans="1:11" s="1" customFormat="1" x14ac:dyDescent="0.3">
      <c r="A90" s="1" t="s">
        <v>64</v>
      </c>
      <c r="B90">
        <v>368.95</v>
      </c>
      <c r="C90">
        <v>407.45</v>
      </c>
      <c r="D90">
        <v>615.6</v>
      </c>
      <c r="E90">
        <v>613.15</v>
      </c>
      <c r="F90">
        <v>1205.9000000000001</v>
      </c>
      <c r="G90">
        <v>1330.95</v>
      </c>
      <c r="H90">
        <v>979.95</v>
      </c>
      <c r="I90">
        <v>1480.45</v>
      </c>
      <c r="J90">
        <v>2382.9</v>
      </c>
      <c r="K90">
        <v>3160.1</v>
      </c>
    </row>
    <row r="92" spans="1:11" s="1" customFormat="1" x14ac:dyDescent="0.3">
      <c r="A92" s="1" t="s">
        <v>63</v>
      </c>
    </row>
    <row r="93" spans="1:11" x14ac:dyDescent="0.3">
      <c r="A93" s="15" t="s">
        <v>62</v>
      </c>
      <c r="B93" s="22">
        <v>39.950000000000003</v>
      </c>
      <c r="C93" s="22">
        <v>40</v>
      </c>
      <c r="D93" s="22">
        <v>40.07</v>
      </c>
      <c r="E93" s="22">
        <v>40.1</v>
      </c>
      <c r="F93" s="22">
        <v>40.119999999999997</v>
      </c>
      <c r="G93" s="22">
        <v>40.130000000000003</v>
      </c>
      <c r="H93" s="22">
        <v>40.14</v>
      </c>
      <c r="I93" s="22">
        <v>40.15</v>
      </c>
      <c r="J93" s="22">
        <v>40.15</v>
      </c>
      <c r="K93" s="22">
        <v>40.15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1C77F38E-9E40-47DC-B4E9-6079319213D7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5EAF-DCA7-4829-BB89-E7A97FFB0D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2C1561-EAB8-43B0-804B-B4D4434F98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13</vt:i4>
      </vt:variant>
    </vt:vector>
  </HeadingPairs>
  <TitlesOfParts>
    <vt:vector size="32" baseType="lpstr">
      <vt:lpstr>Profit &amp; Loss</vt:lpstr>
      <vt:lpstr>Quarters</vt:lpstr>
      <vt:lpstr>Balance Sheet</vt:lpstr>
      <vt:lpstr>Customization</vt:lpstr>
      <vt:lpstr>Data Sheet</vt:lpstr>
      <vt:lpstr>Cash Flow</vt:lpstr>
      <vt:lpstr>Profit &amp; Loss (2)</vt:lpstr>
      <vt:lpstr>Quarters (2)</vt:lpstr>
      <vt:lpstr>Balance Sheet (2)</vt:lpstr>
      <vt:lpstr>Cash Flow (2)</vt:lpstr>
      <vt:lpstr>Customization (2)</vt:lpstr>
      <vt:lpstr>Data Sheet (2)</vt:lpstr>
      <vt:lpstr>Profit &amp; Loss (3)</vt:lpstr>
      <vt:lpstr>Quarters (3)</vt:lpstr>
      <vt:lpstr>Balance Sheet (3)</vt:lpstr>
      <vt:lpstr>Cash Flow (3)</vt:lpstr>
      <vt:lpstr>Customization (3)</vt:lpstr>
      <vt:lpstr>Data Sheet (3)</vt:lpstr>
      <vt:lpstr>Sheet1</vt:lpstr>
      <vt:lpstr>'Balance Sheet (2)'!UPDATE</vt:lpstr>
      <vt:lpstr>'Balance Sheet (3)'!UPDATE</vt:lpstr>
      <vt:lpstr>'Cash Flow (2)'!UPDATE</vt:lpstr>
      <vt:lpstr>'Cash Flow (3)'!UPDATE</vt:lpstr>
      <vt:lpstr>'Customization (2)'!UPDATE</vt:lpstr>
      <vt:lpstr>'Customization (3)'!UPDATE</vt:lpstr>
      <vt:lpstr>'Data Sheet (2)'!UPDATE</vt:lpstr>
      <vt:lpstr>'Data Sheet (3)'!UPDATE</vt:lpstr>
      <vt:lpstr>'Profit &amp; Loss (2)'!UPDATE</vt:lpstr>
      <vt:lpstr>'Profit &amp; Loss (3)'!UPDATE</vt:lpstr>
      <vt:lpstr>'Quarters (2)'!UPDATE</vt:lpstr>
      <vt:lpstr>'Quarters (3)'!UPDATE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SRIVATSA G</dc:creator>
  <cp:lastModifiedBy>SRIVATSA G</cp:lastModifiedBy>
  <dcterms:created xsi:type="dcterms:W3CDTF">2026-09-18T14:50:42Z</dcterms:created>
  <dcterms:modified xsi:type="dcterms:W3CDTF">2026-09-18T15:00:37Z</dcterms:modified>
</cp:coreProperties>
</file>